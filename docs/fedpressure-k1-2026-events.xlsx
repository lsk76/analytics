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дії" sheetId="1" state="visible" r:id="rId3"/>
    <sheet name="Зведення" sheetId="2" state="visible" r:id="rId4"/>
    <sheet name="Довідники" sheetId="3" state="visible" r:id="rId5"/>
  </sheets>
  <definedNames>
    <definedName function="false" hidden="true" localSheetId="0" name="_xlnm._FilterDatabase" vbProcedure="false">Події!$A$1:$S$232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<sst xmlns="http://schemas.openxmlformats.org/spreadsheetml/2006/main" count="1317" uniqueCount="402">
  <si>
    <t xml:space="preserve">№</t>
  </si>
  <si>
    <t xml:space="preserve">ФО</t>
  </si>
  <si>
    <t xml:space="preserve">Суб'єкт</t>
  </si>
  <si>
    <t xml:space="preserve">Дата</t>
  </si>
  <si>
    <t xml:space="preserve">Точність дати</t>
  </si>
  <si>
    <t xml:space="preserve">Населений пункт</t>
  </si>
  <si>
    <t xml:space="preserve">Хвиля</t>
  </si>
  <si>
    <t xml:space="preserve">Форма акції</t>
  </si>
  <si>
    <t xml:space="preserve">Акція відбулася</t>
  </si>
  <si>
    <t xml:space="preserve">Опис</t>
  </si>
  <si>
    <t xml:space="preserve">Учасники</t>
  </si>
  <si>
    <t xml:space="preserve">Ініціатор</t>
  </si>
  <si>
    <t xml:space="preserve">Адресат</t>
  </si>
  <si>
    <t xml:space="preserve">Реакція влади</t>
  </si>
  <si>
    <t xml:space="preserve">Статус</t>
  </si>
  <si>
    <t xml:space="preserve">Причина рішення</t>
  </si>
  <si>
    <t xml:space="preserve">Тип джерела</t>
  </si>
  <si>
    <t xml:space="preserve">Джерело 1</t>
  </si>
  <si>
    <t xml:space="preserve">Джерело 2</t>
  </si>
  <si>
    <t xml:space="preserve">Республіка Алтай</t>
  </si>
  <si>
    <t xml:space="preserve">СФО</t>
  </si>
  <si>
    <t xml:space="preserve">За 2026 рік акцій не виявлено. Головний сюжет — муніципальна реформа — вичерпався вуличною фазою червня 2025 (див. блок «Поза скоупом / контекст»).</t>
  </si>
  <si>
    <t xml:space="preserve">—</t>
  </si>
  <si>
    <t xml:space="preserve">Разом</t>
  </si>
  <si>
    <t xml:space="preserve">Алтайський край</t>
  </si>
  <si>
    <t xml:space="preserve">2026-03-01</t>
  </si>
  <si>
    <t xml:space="preserve">Період</t>
  </si>
  <si>
    <t xml:space="preserve">Барнаул</t>
  </si>
  <si>
    <t xml:space="preserve">Блокування інтернету</t>
  </si>
  <si>
    <t xml:space="preserve">Відмова в узгодженні</t>
  </si>
  <si>
    <t xml:space="preserve">Ні — заборонено</t>
  </si>
  <si>
    <t xml:space="preserve">КПРФ подала на мітинг проти політичних репресій і блокувань інтернету. Адміністрація відмовила, заявивши, що політичних репресій у РФ немає, а мітинг пошириться «неправдивою інформацією»</t>
  </si>
  <si>
    <t xml:space="preserve">КПРФ</t>
  </si>
  <si>
    <t xml:space="preserve">Федеральний</t>
  </si>
  <si>
    <t xml:space="preserve">Погоджено</t>
  </si>
  <si>
    <t xml:space="preserve">Незалежне медіа</t>
  </si>
  <si>
    <t xml:space="preserve">https://novayagazeta.ru/articles/2026/03/10/poshli-v-otkaz</t>
  </si>
  <si>
    <t xml:space="preserve">2026-04-21</t>
  </si>
  <si>
    <t xml:space="preserve">Точна</t>
  </si>
  <si>
    <t xml:space="preserve">Муніципальна реформа</t>
  </si>
  <si>
    <t xml:space="preserve">Колективне звернення</t>
  </si>
  <si>
    <t xml:space="preserve">Так</t>
  </si>
  <si>
    <t xml:space="preserve">Два райони краю виступили проти ліквідації сільрад за ФЗ-33; депутатів опитують повторно після того, як півроку тому губернатор підтримав збереження сільрад</t>
  </si>
  <si>
    <t xml:space="preserve">Райради</t>
  </si>
  <si>
    <t xml:space="preserve">Немає</t>
  </si>
  <si>
    <t xml:space="preserve">Межовий</t>
  </si>
  <si>
    <t xml:space="preserve">Інституційний опір органів МСУ, не вулична акція</t>
  </si>
  <si>
    <t xml:space="preserve">https://semnasem.org/news/2026/04/21/dva-rajona-altajskogo-kraya-vystupili-protiv-unichtozheniya-selsovetov-polgoda-nazad-gubernator-podderzhal-ih-sohranenie-no-deputatov-snova-oprashivayut</t>
  </si>
  <si>
    <t xml:space="preserve">https://semnasem.org/news/2026/05/12/altajskij-chinovnik-obyasnil-unichtozhenie-selsovetov-zakonom-spisannym-u-nedruzhestvennyh-stran</t>
  </si>
  <si>
    <t xml:space="preserve">2026-05-05</t>
  </si>
  <si>
    <t xml:space="preserve">Фракція «Справедливої Росії» виступила проти законопроєкту про перетворення районів на муніципальні округи й ліквідацію сільрад на сесії АКЗС</t>
  </si>
  <si>
    <t xml:space="preserve">Справедлива Росія</t>
  </si>
  <si>
    <t xml:space="preserve">Депутатська заява на сесії, не публічна акція</t>
  </si>
  <si>
    <t xml:space="preserve">Регіональне медіа</t>
  </si>
  <si>
    <t xml:space="preserve">https://tolknews.ru/obsestvo/216175-sotsialisti-viskazalis-protiv-munitsipalnoy-reformi-v-altayskom-krae</t>
  </si>
  <si>
    <t xml:space="preserve">2026-08-05</t>
  </si>
  <si>
    <t xml:space="preserve">Обмеження права на протест</t>
  </si>
  <si>
    <t xml:space="preserve">Інше</t>
  </si>
  <si>
    <t xml:space="preserve">Влада краю урізала список офіційних локацій для проведення мітингів і демонстрацій</t>
  </si>
  <si>
    <t xml:space="preserve">Влада краю</t>
  </si>
  <si>
    <t xml:space="preserve">Регіональний</t>
  </si>
  <si>
    <t xml:space="preserve">Обмеження місць для акцій</t>
  </si>
  <si>
    <t xml:space="preserve">Реакція влади на протестну активність; виконання федерального курсу на згортання акцій</t>
  </si>
  <si>
    <t xml:space="preserve">https://www.bankfax.ru/news/167162/</t>
  </si>
  <si>
    <t xml:space="preserve">2026-08-15</t>
  </si>
  <si>
    <t xml:space="preserve">Поза хвилями</t>
  </si>
  <si>
    <t xml:space="preserve">Груповий пікет</t>
  </si>
  <si>
    <t xml:space="preserve">Узгоджений пікет на площі Свободи з вимогою зупинити будівництво 25-поверхового ЖК «Маяковський-2»; ідеться про навантаження на інфраструктуру й порушення норм забудовником «Селфбуд»</t>
  </si>
  <si>
    <t xml:space="preserve">Мешканці</t>
  </si>
  <si>
    <t xml:space="preserve">Місцевий</t>
  </si>
  <si>
    <t xml:space="preserve">Відкинуто</t>
  </si>
  <si>
    <t xml:space="preserve">Адресат — забудовник і міська влада, федерального виміру немає</t>
  </si>
  <si>
    <t xml:space="preserve">http://habitora.ru/news/zhiteli-barnaula-vyydut-na-piket-15-2026-08-15</t>
  </si>
  <si>
    <t xml:space="preserve">Тива</t>
  </si>
  <si>
    <t xml:space="preserve">2026-01-01</t>
  </si>
  <si>
    <t xml:space="preserve">Кизил</t>
  </si>
  <si>
    <t xml:space="preserve">Н/д</t>
  </si>
  <si>
    <t xml:space="preserve">Підпал автомобіля «Тойота», що належить громадському діячеві, у дворі житлового будинку по вул. Кочетова, 3</t>
  </si>
  <si>
    <t xml:space="preserve">Невідомі</t>
  </si>
  <si>
    <t xml:space="preserve">Кримінальна подія, а не протестна акція</t>
  </si>
  <si>
    <t xml:space="preserve">https://risk-inform.com/article_11907.html</t>
  </si>
  <si>
    <t xml:space="preserve">Анонімна кампанія у «ВКонтакті» тувинською мовою проти сенатора від Тиви Людмили Нарусової — претензії до її бездіяльності в Раді Федерації</t>
  </si>
  <si>
    <t xml:space="preserve">Анонімні автори</t>
  </si>
  <si>
    <t xml:space="preserve">Дописи в соцмережах прямо виключені визначенням K1</t>
  </si>
  <si>
    <t xml:space="preserve">Хакасія</t>
  </si>
  <si>
    <t xml:space="preserve">2026-07-10</t>
  </si>
  <si>
    <t xml:space="preserve">Абакан</t>
  </si>
  <si>
    <t xml:space="preserve">Затримання / штраф</t>
  </si>
  <si>
    <t xml:space="preserve">На шістьох мешканців склали протоколи про несанкціонований мітинг за організацію зустрічі любителів занижених автомобілів</t>
  </si>
  <si>
    <t xml:space="preserve">6</t>
  </si>
  <si>
    <t xml:space="preserve">Автолюбителі</t>
  </si>
  <si>
    <t xml:space="preserve">Протоколи за ст. 20.2 КпАП</t>
  </si>
  <si>
    <t xml:space="preserve">Зустріч не є протестом; показово як ілюстрація застосування ст. 20.2</t>
  </si>
  <si>
    <t xml:space="preserve">https://zona.media/news/2026/07/10/abakan</t>
  </si>
  <si>
    <t xml:space="preserve">2026-08-08</t>
  </si>
  <si>
    <t xml:space="preserve">Мобілізація і війна</t>
  </si>
  <si>
    <t xml:space="preserve">Одиночний пікет</t>
  </si>
  <si>
    <t xml:space="preserve">Олена Трофімова вийшла з плакатом «Верните сына! Мобилизован 26.09.22» під час святкування Дня міста на стадіоні. Поліція вилучила плакат, доставила її до відділку й утримувала три години, погрожуючи психлікарнею й тюрмою. Публічно домагається повернення мобілізованих із вересня 2023</t>
  </si>
  <si>
    <t xml:space="preserve">1</t>
  </si>
  <si>
    <t xml:space="preserve">Низовий</t>
  </si>
  <si>
    <t xml:space="preserve">Затримання, 3 год у відділку, вилучення плаката, погрози</t>
  </si>
  <si>
    <t xml:space="preserve">https://semnasem.org/news/2026/08/10/policejskie-v-hakasii-zaderzhala-za-piket-mat-mobilizovannogo-i-ugrozhali-ej-psihdispanserom</t>
  </si>
  <si>
    <t xml:space="preserve">https://echofm.online/news/v-hakasii-policziya-zaderzhala-vyshedshuyu-v-piket-mat-mobilizovannogo-ej-ugrozhali-psihiatricheskoj-bolniczej-i-tyurmoj</t>
  </si>
  <si>
    <t xml:space="preserve">Красноярський край</t>
  </si>
  <si>
    <t xml:space="preserve">За 2026 рік акцій не виявлено. Причина названа прямо: у 2025 краю ухвалено закон, що фактично забороняє мітинги; ЛДПР відмовили навіть у мітингу проти заборони мітингів.</t>
  </si>
  <si>
    <t xml:space="preserve">https://tvknews.ru/publications/news/84663/</t>
  </si>
  <si>
    <t xml:space="preserve">Іркутська область</t>
  </si>
  <si>
    <t xml:space="preserve">Іркутськ</t>
  </si>
  <si>
    <t xml:space="preserve">Григорій Гребенко («Яблоко») і правозахисник Павло Харитоненко подали на мітинг за вільний інтернет на 300 учасників. Узгодження спершу дали, потім відкликали — «може прийти більше людей, організатори не гарантують безпеку». Суд визнав заборону законною</t>
  </si>
  <si>
    <t xml:space="preserve">300 заявлено</t>
  </si>
  <si>
    <t xml:space="preserve">Яблоко</t>
  </si>
  <si>
    <t xml:space="preserve">Відкликане узгодження, суд підтвердив заборону</t>
  </si>
  <si>
    <t xml:space="preserve">2026-04-07</t>
  </si>
  <si>
    <t xml:space="preserve">Павло Харитоненко вийшов до будівлі адміністрації області з плакатом «Досить забороняти! Вимагаю вільний та доступний інтернет!»</t>
  </si>
  <si>
    <t xml:space="preserve">https://baikal-journal.ru/2026/04/07/piket-protiv-blokirovok-proshel-v-irkutske/</t>
  </si>
  <si>
    <t xml:space="preserve">2026-04-24</t>
  </si>
  <si>
    <t xml:space="preserve">Мітинг</t>
  </si>
  <si>
    <t xml:space="preserve">Узгоджено мітинг проти присипляння безпритульних тварин — обласний закон дозволяє присипляти хворих і агресивних собак і котів через 20 днів після вилову</t>
  </si>
  <si>
    <t xml:space="preserve">Зоозахисники</t>
  </si>
  <si>
    <t xml:space="preserve">Адресат — Законодавчі збори області</t>
  </si>
  <si>
    <t xml:space="preserve">https://baikal-journal.ru/2026/04/24/miting-protiv-usypleniya-bezdomnyh-zhivotnyh-soglasovali-irkutske/</t>
  </si>
  <si>
    <t xml:space="preserve">2026-06-25</t>
  </si>
  <si>
    <t xml:space="preserve">Близько 40 мешканців вийшли на пікет із вимогою накласти вето на обласний закон про поводження з безпритульними тваринами</t>
  </si>
  <si>
    <t xml:space="preserve">~40</t>
  </si>
  <si>
    <t xml:space="preserve">Адресат — обласний закон</t>
  </si>
  <si>
    <t xml:space="preserve">https://ircity.ru/text/animals/2026/06/25/76498612/</t>
  </si>
  <si>
    <t xml:space="preserve">2026-07-11</t>
  </si>
  <si>
    <t xml:space="preserve">Кіренськ</t>
  </si>
  <si>
    <t xml:space="preserve">Близько 500 мешканців вийшли на мітинг і записали звернення до Путіна через припинення авіасполучення з 1 червня: смугу не ремонтували понад 20 років. Після розголосу виділили 40 млн руб., смугу має обстежити Росавіація. Публікація в корпусі — 17.07</t>
  </si>
  <si>
    <t xml:space="preserve">~500</t>
  </si>
  <si>
    <t xml:space="preserve">Немає; після розголосу — виділення коштів</t>
  </si>
  <si>
    <t xml:space="preserve">Telegram-корпус</t>
  </si>
  <si>
    <t xml:space="preserve">https://t.me/irk01/25142</t>
  </si>
  <si>
    <t xml:space="preserve">2026-07-28</t>
  </si>
  <si>
    <t xml:space="preserve">о. Ольхон</t>
  </si>
  <si>
    <t xml:space="preserve">Перекриття дороги</t>
  </si>
  <si>
    <t xml:space="preserve">Мешканців острова перестали пускати на пором в обхід туристів — це єдиний спосіб дістатися додому з материка. Вони влаштували акцію протесту біля переправи, рух було зупинено. Поліція Іркутської області затримала 14 «активних учасників ситуації по обидва боки переправи»</t>
  </si>
  <si>
    <t xml:space="preserve">Затримано 14 осіб</t>
  </si>
  <si>
    <t xml:space="preserve">Місцева транспортна проблема без федерального адресата; масштаб реакції влади робить рядок вартим перегляду</t>
  </si>
  <si>
    <t xml:space="preserve">Державне</t>
  </si>
  <si>
    <t xml:space="preserve">https://vestiirk.ru/news/piket-u-paroma-zavershilsia-razbiratelstvom-v-politsii/</t>
  </si>
  <si>
    <t xml:space="preserve">https://meduza.io/feature/2026/07/29/zhiteli-ostrova-olhon-na-baykale-mogut-dobratsya-do-materika-tolko-na-parome-nedavno-ih-otkazalis-propuskat-bez-ocheredi-v-obhod-turistov</t>
  </si>
  <si>
    <t xml:space="preserve">Кемеровська область</t>
  </si>
  <si>
    <t xml:space="preserve">За 2026 рік акцій не виявлено. Привід гострий: борг «Северного Кузбасса» перед шахтарями зріс до 256 млн руб., частина гірників 8 місяців без зарплати; у 2024–2025 цей конфлікт давав страйки й голодування.</t>
  </si>
  <si>
    <t xml:space="preserve">https://ngs42.ru/text/job/2026/05/26/76441281/</t>
  </si>
  <si>
    <t xml:space="preserve">Новосибірська область</t>
  </si>
  <si>
    <t xml:space="preserve">с. Козиха, Новопичугово</t>
  </si>
  <si>
    <t xml:space="preserve">Забій худоби</t>
  </si>
  <si>
    <t xml:space="preserve">Фермери й мешканці перекрили дороги тракторами й особистим транспортом, не пускаючи спецтехніку до місць забою; проходили пікети біля приймальні губернатора</t>
  </si>
  <si>
    <t xml:space="preserve">Фермери, мешканці</t>
  </si>
  <si>
    <t xml:space="preserve">Змішаний</t>
  </si>
  <si>
    <t xml:space="preserve">Затримання, застереження прокуратури</t>
  </si>
  <si>
    <t xml:space="preserve">Режим НС і ветприписи — федеральний контур; вимоги адресовані Путіну й відомствам</t>
  </si>
  <si>
    <t xml:space="preserve">https://meduza.io/feature/2026/03/18/sibirskie-fermery-prodolzhayut-protestovat-protiv-zaboya-domashnego-skota</t>
  </si>
  <si>
    <t xml:space="preserve">https://ru.wikipedia.org/wiki/%D0%9C%D0%B0%D1%81%D1%81%D0%BE%D0%B2%D1%8B%D0%B9_%D0%B7%D0%B0%D0%B1%D0%BE%D0%B9_%D1%81%D0%BA%D0%BE%D1%82%D0%B0_%D0%B2_%D0%A0%D0%BE%D1%81%D1%81%D0%B8%D0%B8_(2026)</t>
  </si>
  <si>
    <t xml:space="preserve">2026-03-12</t>
  </si>
  <si>
    <t xml:space="preserve">Баганський район</t>
  </si>
  <si>
    <t xml:space="preserve">Журналіста Івана Фролова затримано за відеорепортаж про забій; призначено перевірку за ст. 207.1 КК («неправдива інформація про загрозу»)</t>
  </si>
  <si>
    <t xml:space="preserve">Журналіст</t>
  </si>
  <si>
    <t xml:space="preserve">Затримання, перевірка за ст. 207.1 КК</t>
  </si>
  <si>
    <t xml:space="preserve">Довідкове (вікі)</t>
  </si>
  <si>
    <t xml:space="preserve">https://www.currenttime.tv/a/novosibirskoy-oblasti-fermery-protestuyut-protiv-zaboya-skota/33710065.html</t>
  </si>
  <si>
    <t xml:space="preserve">2026-03-13</t>
  </si>
  <si>
    <t xml:space="preserve">Новосибірськ</t>
  </si>
  <si>
    <t xml:space="preserve">Активіст РКП(б) Сергій Крупенько вийшов на одиночний пікет до будівлі уряду області проти масового знищення худоби у фермерських і домашніх господарствах</t>
  </si>
  <si>
    <t xml:space="preserve">РКП(б)</t>
  </si>
  <si>
    <t xml:space="preserve">Єдине джерело — форум; потрібне підтвердження в медіа</t>
  </si>
  <si>
    <t xml:space="preserve">Соцмережа / форум</t>
  </si>
  <si>
    <t xml:space="preserve">https://www.yaplakal.com/forum2/topic3055342.html</t>
  </si>
  <si>
    <t xml:space="preserve">2026-03-14</t>
  </si>
  <si>
    <t xml:space="preserve">с. Новоключі</t>
  </si>
  <si>
    <t xml:space="preserve">Світлана Паніна провела одиночний пікет у приймальні губернатора Травникова й міністра сільського господарства; пройшла в кабінет міністра, який покинув приміщення</t>
  </si>
  <si>
    <t xml:space="preserve">Мешканка</t>
  </si>
  <si>
    <t xml:space="preserve">2026-03-22</t>
  </si>
  <si>
    <t xml:space="preserve">с. Чернокур'я</t>
  </si>
  <si>
    <t xml:space="preserve">Фермер Петро Полежаєв облився бензином, погрожуючи самоспаленням, намагаючись зупинити забій; худобу знищили наступного дня</t>
  </si>
  <si>
    <t xml:space="preserve">Фермер</t>
  </si>
  <si>
    <t xml:space="preserve">2026-03-29</t>
  </si>
  <si>
    <t xml:space="preserve">Мерія відмовила узгодити мітинг на підтримку фермерів, пославшись на поширення «неправдивої інформації»</t>
  </si>
  <si>
    <t xml:space="preserve">Активісти</t>
  </si>
  <si>
    <t xml:space="preserve">Відмова в акції проти блокування Telegram під приводом «необхідності обстеження дерев» біля театру «Глобус»; для видимості робіт привели працівників із бензопилами, учасників затримали</t>
  </si>
  <si>
    <t xml:space="preserve">Затримання учасників</t>
  </si>
  <si>
    <t xml:space="preserve">https://ru.wikipedia.org/wiki/%D0%91%D0%BB%D0%BE%D0%BA%D0%B8%D1%80%D0%BE%D0%B2%D0%BA%D0%B0_Telegram_%D0%B2_%D0%A0%D0%BE%D1%81%D1%81%D0%B8%D0%B8_(2026)</t>
  </si>
  <si>
    <t xml:space="preserve">2026-03-30</t>
  </si>
  <si>
    <t xml:space="preserve">Активіста оштрафували на 250 тис. руб. за стрім, записаний 01.03 на площі, — його визнали «публічним заходом у формі відеозвернення». Затримали дорогою на акцію проти забою худоби</t>
  </si>
  <si>
    <t xml:space="preserve">Активіст</t>
  </si>
  <si>
    <t xml:space="preserve">Штраф 250 тис. руб., затримання</t>
  </si>
  <si>
    <t xml:space="preserve">https://novayagazeta.eu/articles/2026/03/30/strim-kotoryi-sochli-mitingom</t>
  </si>
  <si>
    <t xml:space="preserve">2026-03-31</t>
  </si>
  <si>
    <t xml:space="preserve">Місяць</t>
  </si>
  <si>
    <t xml:space="preserve">Колективний позов</t>
  </si>
  <si>
    <t xml:space="preserve">Фермери подали колективний позов проти губернатора й уряду області через масове вилучення й знищення худоби</t>
  </si>
  <si>
    <t xml:space="preserve">Фермери</t>
  </si>
  <si>
    <t xml:space="preserve">https://kedr.media/news/novosibirskie-fermery-podali-isk-protiv-vlastej-iz-za-massovogo-izyatiya-skota/</t>
  </si>
  <si>
    <t xml:space="preserve">https://novayagazeta.ru/articles/2026/07/30/obyknovennoe-skotstvo</t>
  </si>
  <si>
    <t xml:space="preserve">2026-07-27</t>
  </si>
  <si>
    <t xml:space="preserve">Москва / Новосибірськ</t>
  </si>
  <si>
    <t xml:space="preserve">Голову новосибірського відділення ВООПІК Наталю Шаміну вдруге затримали в Москві після одиночного пікету біля адміністрації президента проти законопроєкту, що дозволяє регіонам знімати охоронний статус з об'єктів культурної спадщини. Оголосила голодування, доставлена до психіатричної лікарні; протокол затримання не складали, адвоката не викликали</t>
  </si>
  <si>
    <t xml:space="preserve">ВООПІК</t>
  </si>
  <si>
    <t xml:space="preserve">Затримання, психлікарня</t>
  </si>
  <si>
    <t xml:space="preserve">Акція в Москві, але суб'єкт і предмет — новосибірські</t>
  </si>
  <si>
    <t xml:space="preserve">https://t.me/nsk_smi/31348</t>
  </si>
  <si>
    <t xml:space="preserve">2026-08-07</t>
  </si>
  <si>
    <t xml:space="preserve">Мітинг «Збережемо культурну спадщину — захистимо країну» проти законопроєкту №827867-8 (ухвалений Держдумою 07.07, схвалений Радою Федерації 17.07), який спрощує виключення об'єктів культурної спадщини з реєстру. Організатор — обласне відділення ВООПІК</t>
  </si>
  <si>
    <t xml:space="preserve">кілька десятків</t>
  </si>
  <si>
    <t xml:space="preserve">У наданому переліку датовано 07.09 — джерело вказує 07.08</t>
  </si>
  <si>
    <t xml:space="preserve">Партійне / громадське</t>
  </si>
  <si>
    <t xml:space="preserve">https://xn--54-1lclv.xn--p1ai/news/novosibirsk-miting-sohranim-kulturnoe-nasledie-zashhitim-stranu-07-08-26/</t>
  </si>
  <si>
    <t xml:space="preserve">https://t.me/nsk_smi/31724</t>
  </si>
  <si>
    <t xml:space="preserve">Омська область</t>
  </si>
  <si>
    <t xml:space="preserve">2026-01-26</t>
  </si>
  <si>
    <t xml:space="preserve">Омськ</t>
  </si>
  <si>
    <t xml:space="preserve">Тарифи й комуналка</t>
  </si>
  <si>
    <t xml:space="preserve">Мешканці будинків по вул. Орджонікідзе влаштували пікет із вимогою усунути порив на тепломережах — без опалення понад два тижні</t>
  </si>
  <si>
    <t xml:space="preserve">Комунальна аварія — прямо виключений випадок</t>
  </si>
  <si>
    <t xml:space="preserve">https://ngs55.ru/text/house/2026/01/27/76235217/</t>
  </si>
  <si>
    <t xml:space="preserve">2026-08-13</t>
  </si>
  <si>
    <t xml:space="preserve">Москва</t>
  </si>
  <si>
    <t xml:space="preserve">Активісти лівих партій вийшли на одиночні пікети до Міністерства оборони РФ із плакатом «Друзі, давайте сядемо за стіл мирних переговорів!»</t>
  </si>
  <si>
    <t xml:space="preserve">Ліві партії</t>
  </si>
  <si>
    <t xml:space="preserve">Акція відбулася в МОСКВІ; у наданому переліку помилково віднесена до Омської області</t>
  </si>
  <si>
    <t xml:space="preserve">https://rutube.ru/video/de2e0e058256883dee0063b95b0863a3/</t>
  </si>
  <si>
    <t xml:space="preserve">Томська область</t>
  </si>
  <si>
    <t xml:space="preserve">2026-01-20</t>
  </si>
  <si>
    <t xml:space="preserve">Томськ</t>
  </si>
  <si>
    <t xml:space="preserve">Міська влада відмовила активісту в пікеті проти цензури в мережі, пославшись на те, що на тій самій території відбуватиметься інше дійство. Найраніший зафіксований епізод інтернет-хвилі у скоупі</t>
  </si>
  <si>
    <t xml:space="preserve">https://runews24.ru/tomsk/20/01/2026/v-tomskoj-oblasti-otmenili-piket-protiv-czenzuryi-v-internete</t>
  </si>
  <si>
    <t xml:space="preserve">Бурятія</t>
  </si>
  <si>
    <t xml:space="preserve">ДФО</t>
  </si>
  <si>
    <t xml:space="preserve">2026-04-08</t>
  </si>
  <si>
    <t xml:space="preserve">Улан-Уде</t>
  </si>
  <si>
    <t xml:space="preserve">Ні — лише заявка</t>
  </si>
  <si>
    <t xml:space="preserve">Перший секретар БРО КПРФ, депутат Держдуми В'ячеслав Мархаєв повідомив про подання владі Улан-Уде повідомлення про мітинг «За вільний інтернет»</t>
  </si>
  <si>
    <t xml:space="preserve">Результат розгляду заявки треба уточнити</t>
  </si>
  <si>
    <t xml:space="preserve">https://rtvi.com/news/v-buryatii-kommunisty-anonsirovali-miting-protiv-blokirovok/</t>
  </si>
  <si>
    <t xml:space="preserve">2026-04-23</t>
  </si>
  <si>
    <t xml:space="preserve">Фракція КПРФ у Народному Хуралі публічно зажадала відставки глави республіки Циденова й уряду — претензія до системи управління загалом</t>
  </si>
  <si>
    <t xml:space="preserve">Адресат радше регіональний</t>
  </si>
  <si>
    <t xml:space="preserve">Джерело відсутнє</t>
  </si>
  <si>
    <t xml:space="preserve">2026-05-01</t>
  </si>
  <si>
    <t xml:space="preserve">Мітинг солідарності; серед вимог — захист Байкалу і спротив розробці апатитового родовища в Ошурково</t>
  </si>
  <si>
    <t xml:space="preserve">Надрокористування ліцензує центр</t>
  </si>
  <si>
    <t xml:space="preserve">https://kprf.ru/party-live/regnews/243547.html</t>
  </si>
  <si>
    <t xml:space="preserve">2026-08-04</t>
  </si>
  <si>
    <t xml:space="preserve">Активіст Радянського районного відділення КПРФ Баїр Зомонов провів одиночний пікет із плакатом «Я за чесні вибори»</t>
  </si>
  <si>
    <t xml:space="preserve">Кампанія до Держдуми федеральна, але прямої претензії до центру в плакаті немає</t>
  </si>
  <si>
    <t xml:space="preserve">https://kprf.ru/party-live/regnews/246087.html</t>
  </si>
  <si>
    <t xml:space="preserve">Саха (Якутія)</t>
  </si>
  <si>
    <t xml:space="preserve">2026-03-26</t>
  </si>
  <si>
    <t xml:space="preserve">Якутськ</t>
  </si>
  <si>
    <t xml:space="preserve">Мітинг 29 березня на площі Орджонікідзе планував городянин Олексій Попов, оцінивши можливу кількість учасників у сто осіб; мітинг скасували</t>
  </si>
  <si>
    <t xml:space="preserve">100 заявлено</t>
  </si>
  <si>
    <t xml:space="preserve">Скасування акції</t>
  </si>
  <si>
    <t xml:space="preserve">https://14.ru/text/gorod/2026/03/26/76331005/</t>
  </si>
  <si>
    <t xml:space="preserve">2026-08-11</t>
  </si>
  <si>
    <t xml:space="preserve">КПРФ спробувала провести мітинг «Люди заслуживают лучшего!» і «Хватит это терпеть!» на площі Марата біля Вічного вогню. Мерія спершу узгодила, потім заборонила, пославшись на техроботи 10–14 серпня; у день акції площа була порожня, спецтехніка не працювала</t>
  </si>
  <si>
    <t xml:space="preserve">Заборона під приводом техробіт</t>
  </si>
  <si>
    <t xml:space="preserve">https://baikal-journal.ru/2026/08/14/kprf-v-yakutske-popytalas-provesti-miting-a-meriya-snova-otkazala-pod-predlogom-tehnicheskih-rabot-na-pustoj-ploshhadi/</t>
  </si>
  <si>
    <t xml:space="preserve">Забайкальський край</t>
  </si>
  <si>
    <t xml:space="preserve">2026-05-26</t>
  </si>
  <si>
    <t xml:space="preserve">с. Чара, Каларський округ</t>
  </si>
  <si>
    <t xml:space="preserve">Батьки та школярі в день останнього дзвоника записали відеозвернення із закликом зберегти школу, яку за рішенням прокуратури визнали аварійною й такою, що підлягає знесенню; нову школу обіцяють десятиліттями</t>
  </si>
  <si>
    <t xml:space="preserve">Батьки, школярі</t>
  </si>
  <si>
    <t xml:space="preserve">Зараховано рішенням аналітика: форма — колективне звернення; аварійність школи визначила прокуратура (федеральний орган), а нову школу обіцяють десятиліттями за федеральними програмами</t>
  </si>
  <si>
    <t xml:space="preserve">https://www.chita.ru/text/education/2026/05/28/76444206/</t>
  </si>
  <si>
    <t xml:space="preserve">Камчатський край</t>
  </si>
  <si>
    <t xml:space="preserve">2026-04-29</t>
  </si>
  <si>
    <t xml:space="preserve">Петропавловськ-Камчатський</t>
  </si>
  <si>
    <t xml:space="preserve">Масовий мітинг протесту лівих сил, організований політичними партіями й регіональними громадськими організаціями; предмет — соціально-економічна обстановка в регіоні</t>
  </si>
  <si>
    <t xml:space="preserve">У наданому переліку по Камчатці стояло «не виявлено» — акція є</t>
  </si>
  <si>
    <t xml:space="preserve">https://komros.info/regions/edge/kamchatka-krai/news/news_11253.html</t>
  </si>
  <si>
    <t xml:space="preserve">Приморський край</t>
  </si>
  <si>
    <t xml:space="preserve">2026-02-17</t>
  </si>
  <si>
    <t xml:space="preserve">Владивосток</t>
  </si>
  <si>
    <t xml:space="preserve">Утильзбір і податки</t>
  </si>
  <si>
    <t xml:space="preserve">Депутат ЗС краю Олександр Сустов і депутат думи Надєждінського району Олег Григор'єв подали повідомлення про мітинг проти економічної політики влади та обмежень у роботі месенджерів</t>
  </si>
  <si>
    <t xml:space="preserve">https://vladivostok1.ru/text/politics/2026/02/17/76268194/</t>
  </si>
  <si>
    <t xml:space="preserve">Відмова в мітингу проти обмежень Telegram і месенджерів — привід «ремонт сцени, загроза безпеці»</t>
  </si>
  <si>
    <t xml:space="preserve">2026-05-10</t>
  </si>
  <si>
    <t xml:space="preserve">Уряд краю відмовився додати ще одне місце для мітингів у Владивостоці на прохання комуніста; в.о. міністра відповіла, що акції можна проводити на інших майданчиках за погодженням із мерією. Контекст: єдиний гайд-парк «на ремонті» з листопада 2025 до весни 2026 після мітингу проти утильзбору</t>
  </si>
  <si>
    <t xml:space="preserve">Відмова</t>
  </si>
  <si>
    <t xml:space="preserve">https://semnasem.org/news/2026/05/10/pravitelstvo-primorya-otkazalos-dobavit-po-prosbe-kommunista-eshe-odno-mesto-dlya-mitingov-vo-vladivostoke</t>
  </si>
  <si>
    <t xml:space="preserve">https://nemoskva.net/2025/11/11/miting-protiv-utilsbora-snova-otmenen-vladivostok-zakryt-na-remont-do-2026-goda/</t>
  </si>
  <si>
    <t xml:space="preserve">2026-07-21</t>
  </si>
  <si>
    <t xml:space="preserve">Уссурійськ</t>
  </si>
  <si>
    <t xml:space="preserve">Батьки строковиків із Пермського краю заявили, що їхніх синів примусили підписати контракти на війну просто в ешелоні дорогою до місця служби, без ВЛК і психологічного відбору, з примусовим зарахуванням 500 тис. руб. на рахунки. Подано колективні звернення до військової прокуратури гарнізону, депутата Держдуми, Генпрокуратури, СК та омбудсменів</t>
  </si>
  <si>
    <t xml:space="preserve">Батьки строковиків</t>
  </si>
  <si>
    <t xml:space="preserve">https://t.me/ussur_mikh_kray/37774</t>
  </si>
  <si>
    <t xml:space="preserve">Хабаровський край</t>
  </si>
  <si>
    <t xml:space="preserve">Хабаровськ</t>
  </si>
  <si>
    <t xml:space="preserve">Партія «Рассвет» отримала відмову за день до акції за вільний інтернет: «аварійно-відновлювальні роботи на інженерних мережах» у парку Будинку офіцерів флоту. Попри оголошення про закриття, парк працював, техніки не було</t>
  </si>
  <si>
    <t xml:space="preserve">Партія «Рассвет»</t>
  </si>
  <si>
    <t xml:space="preserve">2026-04-12</t>
  </si>
  <si>
    <t xml:space="preserve">Комсомольськ-на-Амурі</t>
  </si>
  <si>
    <t xml:space="preserve">Сотні китайських робітників компанії-підрядника НПЗ вийшли на протест через борги по зарплаті; влада вступила в діалог з учасниками</t>
  </si>
  <si>
    <t xml:space="preserve">~200–400</t>
  </si>
  <si>
    <t xml:space="preserve">Робітники підрядника</t>
  </si>
  <si>
    <t xml:space="preserve">Роботодавець</t>
  </si>
  <si>
    <t xml:space="preserve">Діалог із владою</t>
  </si>
  <si>
    <t xml:space="preserve">Трудовий спір із роботодавцем, федерального адресата немає</t>
  </si>
  <si>
    <t xml:space="preserve">https://novayagazeta.eu/articles/2026/04/12/sotni-kitaiskikh-rabochikh-vyshli-na-protest-v-khabarovskom-krae-iz-za-nevyplaty-zarplat-news</t>
  </si>
  <si>
    <t xml:space="preserve">https://novayagazeta.ru/articles/2026/04/13/krestnyi-khod-za-dengami</t>
  </si>
  <si>
    <t xml:space="preserve">Амурська область</t>
  </si>
  <si>
    <t xml:space="preserve">2026-08-12</t>
  </si>
  <si>
    <t xml:space="preserve">Амурський ГХК</t>
  </si>
  <si>
    <t xml:space="preserve">Трьох індійських робітників оштрафували за акцію протесту на Амурському газохімічному комплексі — їм три місяці не платили зарплату</t>
  </si>
  <si>
    <t xml:space="preserve">3</t>
  </si>
  <si>
    <t xml:space="preserve">Робітники</t>
  </si>
  <si>
    <t xml:space="preserve">Штрафи трьом учасникам</t>
  </si>
  <si>
    <t xml:space="preserve">Сама акція — трудовий спір (не K1), але штраф є реакцією влади на протест. Джерело — допис у соцмережі, потрібне підтвердження</t>
  </si>
  <si>
    <t xml:space="preserve">https://m.vk.ru/wall-6283450_229285</t>
  </si>
  <si>
    <t xml:space="preserve">Магаданська область</t>
  </si>
  <si>
    <t xml:space="preserve">За 2026 рік акцій не виявлено. Регіон майже не покритий незалежними медіа — нуль найменш надійний у скоупі.</t>
  </si>
  <si>
    <t xml:space="preserve">Сахалінська область</t>
  </si>
  <si>
    <t xml:space="preserve">2026-07-30</t>
  </si>
  <si>
    <t xml:space="preserve">Южно-Сахалінськ</t>
  </si>
  <si>
    <t xml:space="preserve">Мітинг-пікет біля генерального консульства Японії через публікації про співробітника консульства, якого підозрюють у шпигунстві та зберіганні заборонених матеріалів</t>
  </si>
  <si>
    <t xml:space="preserve">Громадські організації</t>
  </si>
  <si>
    <t xml:space="preserve">Іноземна держава</t>
  </si>
  <si>
    <t xml:space="preserve">Акція проти іноземної держави, узгоджена з позицією влади — не протест проти центру</t>
  </si>
  <si>
    <t xml:space="preserve">https://sakh.online/news/24/2026-07-30/v-yuzhno-sahalinske-proshel-miting-protiv-yaponskogo-diplomata-iz-za-shpionazha-i-detskoy-pornografii-520736</t>
  </si>
  <si>
    <t xml:space="preserve">Єврейська АО</t>
  </si>
  <si>
    <t xml:space="preserve">Біробіджан</t>
  </si>
  <si>
    <t xml:space="preserve">Активіст Георгій Нацвлішвілі провів акцію солідарності з незареєстрованими кандидатами до Заксобрання ЄАО, ветеранами війни Олександром Жидковим і Романом Новіковим, заявивши, що місцева влада ігнорує заклик підтримувати таких кандидатів</t>
  </si>
  <si>
    <t xml:space="preserve">Адресат — територіальна виборча комісія, тобто регіональний орган. Центр у риториці акції виступає союзником, на якого спираються проти місцевої влади («ігнорують заклик президента»), а K1 міряє невдоволення центром. Діагностичний сигнал: єдиний випадок з оцінкою центру «схвально»</t>
  </si>
  <si>
    <t xml:space="preserve">https://gazeta-pravda.ru/issue/86-31867-1112-avgusta-2026-goda/zashchitniki-v-setyakh-kryuchkotvorstva/</t>
  </si>
  <si>
    <t xml:space="preserve">https://t.me/nabatnews_tg/6507</t>
  </si>
  <si>
    <t xml:space="preserve">Чукотський АО</t>
  </si>
  <si>
    <t xml:space="preserve">За 2026 рік акцій не виявлено. Як і Магадан, округ практично не покритий незалежними джерелами.</t>
  </si>
  <si>
    <t xml:space="preserve">ХМАО — Югра</t>
  </si>
  <si>
    <t xml:space="preserve">УФО</t>
  </si>
  <si>
    <t xml:space="preserve">2026-02-09</t>
  </si>
  <si>
    <t xml:space="preserve">Ханти-Мансійськ</t>
  </si>
  <si>
    <t xml:space="preserve">Югорчанка провела одиночний пікет біля будівлі уряду ХМАО з критикою транспортної реформи в Нижньовартовську — проблеми з обслуговуванням пасажирів у громадському транспорті</t>
  </si>
  <si>
    <t xml:space="preserve">Адресат — муніципальна транспортна реформа</t>
  </si>
  <si>
    <t xml:space="preserve">https://ura.news/news/1053067491</t>
  </si>
  <si>
    <t xml:space="preserve">Нижньовартовськ</t>
  </si>
  <si>
    <t xml:space="preserve">Одиночний пікет ЛДПР у зв'язку з початком судового процесу у справі про розкрадання 166 млн руб. при рекультивації полігону в муніципалітеті</t>
  </si>
  <si>
    <t xml:space="preserve">ЛДПР</t>
  </si>
  <si>
    <t xml:space="preserve">Претензія до місцевих підрядників; федеральні органи виступають стороною, що переслідує зловживання</t>
  </si>
  <si>
    <t xml:space="preserve">https://hmao.ldpr.ru/event/odinochnyy-piket-v-nizhnevartovske-gde-ekologiya-gde-novyy-poligon-/</t>
  </si>
  <si>
    <t xml:space="preserve">ЯНАО</t>
  </si>
  <si>
    <t xml:space="preserve">За 2026 рік акцій не виявлено.</t>
  </si>
  <si>
    <t xml:space="preserve">Поза скоупом / контекст</t>
  </si>
  <si>
    <t xml:space="preserve">2018-06-01</t>
  </si>
  <si>
    <t xml:space="preserve">Якутськ (Саха)</t>
  </si>
  <si>
    <t xml:space="preserve">Понад 60 осіб вийшли в центрі Якутська проти підвищення тарифів на комунальні послуги й паливо. Ухвалено резолюцію зі 100+ підписами з вимогою перевірити обґрунтованість тарифів, запланованих з 01.07.2018; документ направлено до Держзборів республіки й прокуратури. Організатор — Ерел Васильєв</t>
  </si>
  <si>
    <t xml:space="preserve">&gt;60</t>
  </si>
  <si>
    <t xml:space="preserve">Поза періодом: червень 2018. У наданому переліку фігурувало як подія без дати</t>
  </si>
  <si>
    <t xml:space="preserve">https://www.sibreal.org/a/29288539.html</t>
  </si>
  <si>
    <t xml:space="preserve">2019-09-15</t>
  </si>
  <si>
    <t xml:space="preserve">Улан-Уде (Бурятія)</t>
  </si>
  <si>
    <t xml:space="preserve">Мітинг проти поліцейського свавілля і за чесні вибори, 700–1000 осіб. Вимоги: відставка глави Бурятії Циденова й міністра МВС Кудінова, скасування постанови про заборону мітингів на головних площах, розслідування порушень на виборах. Поліція била учасників кийками, ОМОН оточив автомобіль з опозиціонерами</t>
  </si>
  <si>
    <t xml:space="preserve">700–1000</t>
  </si>
  <si>
    <t xml:space="preserve">Опозиція</t>
  </si>
  <si>
    <t xml:space="preserve">Побиття учасників, затримання</t>
  </si>
  <si>
    <t xml:space="preserve">Поза періодом: вересень 2019 (у правках аналітика вказано 2018 — джерело датоване 15.09.2019). У наданому переліку фігурувало як подія без дати</t>
  </si>
  <si>
    <t xml:space="preserve">https://www.sibreal.org/a/30189408.html</t>
  </si>
  <si>
    <t xml:space="preserve">2024-11-24</t>
  </si>
  <si>
    <t xml:space="preserve">Близько 30 осіб вийшли у сквер Гагаріна проти скасування прямих виборів мера Якутська. Організатор — якутське відділення «Яблока» на чолі з Анатолієм Ноговіциним. Поліція затримала лідера, заявивши, що учасники вийшли за межі дозволеної території</t>
  </si>
  <si>
    <t xml:space="preserve">~30</t>
  </si>
  <si>
    <t xml:space="preserve">Затримання організатора</t>
  </si>
  <si>
    <t xml:space="preserve">Поза періодом: листопад 2024. У наданому переліку фігурувало як подія без дати</t>
  </si>
  <si>
    <t xml:space="preserve">https://yakutia.info/article/212800</t>
  </si>
  <si>
    <t xml:space="preserve">2025-01-01</t>
  </si>
  <si>
    <t xml:space="preserve">Після ухвалення крайового закону, що фактично забороняє мітинги, керівник крайового ЛДПР Олександр Бойков спробував провести мітинг проти заборони мітингів — отримав відмову</t>
  </si>
  <si>
    <t xml:space="preserve">Поза періодом (2025) — пояснює нуль у краї за 2026</t>
  </si>
  <si>
    <t xml:space="preserve">2025-06-21</t>
  </si>
  <si>
    <t xml:space="preserve">Горно-Алтайськ (Респ. Алтай)</t>
  </si>
  <si>
    <t xml:space="preserve">Близько 4 000 осіб вийшли проти ліквідації сільрад і запровадження однорівневої системи МСУ за ФЗ-33, проти поправок до конституції республіки; вимагали відставки глави Турчака й голови уряду Прокоп'єва. Найбільша акція за 20 років</t>
  </si>
  <si>
    <t xml:space="preserve">~4000</t>
  </si>
  <si>
    <t xml:space="preserve">Тиск на організаторів</t>
  </si>
  <si>
    <t xml:space="preserve">Поза періодом (2025) — наведено як контекст найбільшого сюжету Республіки Алтай</t>
  </si>
  <si>
    <t xml:space="preserve">https://www.svoboda.org/a/altay-protestuet-protiv-unichtozheniya-sistemy-samoupravleniya/33453220.html</t>
  </si>
  <si>
    <t xml:space="preserve">https://meduza.io/feature/2025/08/27/lyudi-ischut-dengi-na-benzin-gotovyat-transport-risuyut-plakaty</t>
  </si>
  <si>
    <t xml:space="preserve">2025-10-11</t>
  </si>
  <si>
    <t xml:space="preserve">Владивосток (Прим. край)</t>
  </si>
  <si>
    <t xml:space="preserve">Узгоджений мітинг проти підвищення утильзбору; зібрано 680 підписів за збереження розрахунку за об'ємом двигуна й роком випуску</t>
  </si>
  <si>
    <t xml:space="preserve">КПРФ, автомобілісти</t>
  </si>
  <si>
    <t xml:space="preserve">Поза періодом (2025) — старт хвилі утильзбору</t>
  </si>
  <si>
    <t xml:space="preserve">https://primamedia.ru/news/2254615/</t>
  </si>
  <si>
    <t xml:space="preserve">https://novayagazeta.eu/articles/2025/11/20/toioty-russkoi-zimy</t>
  </si>
  <si>
    <t xml:space="preserve">2025-11-22</t>
  </si>
  <si>
    <t xml:space="preserve">Двічі відмовлено в мітингах 22–23 листопада проти підвищення утильзбору й ПДВ: майданчик біля Дому молоді нібито на ремонті з листопада 2025 до весни 2026. Організатору неофіційно передали з Москви: «Ви краще не лізьте»</t>
  </si>
  <si>
    <t xml:space="preserve">Поза періодом (2025)</t>
  </si>
  <si>
    <t xml:space="preserve">Балаково (Саратовська обл.)</t>
  </si>
  <si>
    <t xml:space="preserve">Одиночні пікети на захист комуністів Алтайського краю через масштабне політичне переслідування членів КПРФ</t>
  </si>
  <si>
    <t xml:space="preserve">Подія в Саратовській області; у наданому переліку віднесена до Алтайського краю</t>
  </si>
  <si>
    <t xml:space="preserve">https://kprf-saratov.ru/2026/02/balakovo-odinochnye-pikety-v-podderzhku-altajskih-tovarishhej/</t>
  </si>
  <si>
    <t xml:space="preserve">Тюмень (Тюменська обл.)</t>
  </si>
  <si>
    <t xml:space="preserve">Узгоджений мітинг проти зростання тарифів на комунальні послуги, організований регіональним відділенням КПРФ</t>
  </si>
  <si>
    <t xml:space="preserve">Тюменська область не входить до 23 суб'єктів скоупу (лише ХМАО та ЯНАО)</t>
  </si>
  <si>
    <t xml:space="preserve">http://reporters.live/news/v-tjumeni-proshel-soglasovannyj-miting-protiv-rosta-tarifov-zhkh/</t>
  </si>
  <si>
    <t xml:space="preserve">Погоджено (K1)</t>
  </si>
  <si>
    <t xml:space="preserve">Межових</t>
  </si>
  <si>
    <t xml:space="preserve">Усього рядків</t>
  </si>
  <si>
    <t xml:space="preserve">РАЗОМ</t>
  </si>
  <si>
    <t xml:space="preserve">• Числа рахуються формулами COUNTIFS по аркушу «Події» — щойно аналітик змінить статус або допише подію, зведення оновиться саме.</t>
  </si>
  <si>
    <t xml:space="preserve">• «Погоджено» = інцидент зарахований як K1. «Межовий» = потребує рішення щодо адресата. «Відкинуто» = розглянуто й визнано не-K1.</t>
  </si>
  <si>
    <t xml:space="preserve">• У кожному блоці суб'єкта на аркуші «Події» залишено 4 порожні рядки під нові події — вони вже входять у діапазон підрахунку.</t>
  </si>
  <si>
    <t xml:space="preserve">• Блок «Поза скоупом / контекст» містить події поза 23 суб'єктами або поза періодом 2026 — у підсумок K1 вони не входять.</t>
  </si>
  <si>
    <t xml:space="preserve">Страйк / голодування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</si>
</sst>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6"/>
        <bgColor rgb="FFF2F2F2"/>
      </patternFill>
    </fill>
    <fill>
      <patternFill patternType="solid">
        <fgColor rgb="FFFFFDF0"/>
        <bgColor rgb="FFFFFFFF"/>
      </patternFill>
    </fill>
    <fill>
      <patternFill patternType="solid">
        <fgColor rgb="FFF2F2F2"/>
        <bgColor rgb="FFFFFD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DF0"/>
      <rgbColor rgb="FFDEEAF6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ovayagazeta.ru/articles/2026/03/10/poshli-v-otkaz" TargetMode="External"/><Relationship Id="rId2" Type="http://schemas.openxmlformats.org/officeDocument/2006/relationships/hyperlink" Target="https://semnasem.org/news/2026/04/21/dva-rajona-altajskogo-kraya-vystupili-protiv-unichtozheniya-selsovetov-polgoda-nazad-gubernator-podderzhal-ih-sohranenie-no-deputatov-snova-oprashivayut" TargetMode="External"/><Relationship Id="rId3" Type="http://schemas.openxmlformats.org/officeDocument/2006/relationships/hyperlink" Target="https://semnasem.org/news/2026/05/12/altajskij-chinovnik-obyasnil-unichtozhenie-selsovetov-zakonom-spisannym-u-nedruzhestvennyh-stran" TargetMode="External"/><Relationship Id="rId4" Type="http://schemas.openxmlformats.org/officeDocument/2006/relationships/hyperlink" Target="https://tolknews.ru/obsestvo/216175-sotsialisti-viskazalis-protiv-munitsipalnoy-reformi-v-altayskom-krae" TargetMode="External"/><Relationship Id="rId5" Type="http://schemas.openxmlformats.org/officeDocument/2006/relationships/hyperlink" Target="https://www.bankfax.ru/news/167162/" TargetMode="External"/><Relationship Id="rId6" Type="http://schemas.openxmlformats.org/officeDocument/2006/relationships/hyperlink" Target="http://habitora.ru/news/zhiteli-barnaula-vyydut-na-piket-15-2026-08-15" TargetMode="External"/><Relationship Id="rId7" Type="http://schemas.openxmlformats.org/officeDocument/2006/relationships/hyperlink" Target="https://risk-inform.com/article_11907.html" TargetMode="External"/><Relationship Id="rId8" Type="http://schemas.openxmlformats.org/officeDocument/2006/relationships/hyperlink" Target="https://risk-inform.com/article_11907.html" TargetMode="External"/><Relationship Id="rId9" Type="http://schemas.openxmlformats.org/officeDocument/2006/relationships/hyperlink" Target="https://zona.media/news/2026/07/10/abakan" TargetMode="External"/><Relationship Id="rId10" Type="http://schemas.openxmlformats.org/officeDocument/2006/relationships/hyperlink" Target="https://semnasem.org/news/2026/08/10/policejskie-v-hakasii-zaderzhala-za-piket-mat-mobilizovannogo-i-ugrozhali-ej-psihdispanserom" TargetMode="External"/><Relationship Id="rId11" Type="http://schemas.openxmlformats.org/officeDocument/2006/relationships/hyperlink" Target="https://echofm.online/news/v-hakasii-policziya-zaderzhala-vyshedshuyu-v-piket-mat-mobilizovannogo-ej-ugrozhali-psihiatricheskoj-bolniczej-i-tyurmoj" TargetMode="External"/><Relationship Id="rId12" Type="http://schemas.openxmlformats.org/officeDocument/2006/relationships/hyperlink" Target="https://tvknews.ru/publications/news/84663/" TargetMode="External"/><Relationship Id="rId13" Type="http://schemas.openxmlformats.org/officeDocument/2006/relationships/hyperlink" Target="https://novayagazeta.ru/articles/2026/03/10/poshli-v-otkaz" TargetMode="External"/><Relationship Id="rId14" Type="http://schemas.openxmlformats.org/officeDocument/2006/relationships/hyperlink" Target="https://baikal-journal.ru/2026/04/07/piket-protiv-blokirovok-proshel-v-irkutske/" TargetMode="External"/><Relationship Id="rId15" Type="http://schemas.openxmlformats.org/officeDocument/2006/relationships/hyperlink" Target="https://baikal-journal.ru/2026/04/24/miting-protiv-usypleniya-bezdomnyh-zhivotnyh-soglasovali-irkutske/" TargetMode="External"/><Relationship Id="rId16" Type="http://schemas.openxmlformats.org/officeDocument/2006/relationships/hyperlink" Target="https://ircity.ru/text/animals/2026/06/25/76498612/" TargetMode="External"/><Relationship Id="rId17" Type="http://schemas.openxmlformats.org/officeDocument/2006/relationships/hyperlink" Target="https://t.me/irk01/25142" TargetMode="External"/><Relationship Id="rId18" Type="http://schemas.openxmlformats.org/officeDocument/2006/relationships/hyperlink" Target="https://vestiirk.ru/news/piket-u-paroma-zavershilsia-razbiratelstvom-v-politsii/" TargetMode="External"/><Relationship Id="rId19" Type="http://schemas.openxmlformats.org/officeDocument/2006/relationships/hyperlink" Target="https://meduza.io/feature/2026/07/29/zhiteli-ostrova-olhon-na-baykale-mogut-dobratsya-do-materika-tolko-na-parome-nedavno-ih-otkazalis-propuskat-bez-ocheredi-v-obhod-turistov" TargetMode="External"/><Relationship Id="rId20" Type="http://schemas.openxmlformats.org/officeDocument/2006/relationships/hyperlink" Target="https://ngs42.ru/text/job/2026/05/26/76441281/" TargetMode="External"/><Relationship Id="rId21" Type="http://schemas.openxmlformats.org/officeDocument/2006/relationships/hyperlink" Target="https://meduza.io/feature/2026/03/18/sibirskie-fermery-prodolzhayut-protestovat-protiv-zaboya-domashnego-skota" TargetMode="External"/><Relationship Id="rId22" Type="http://schemas.openxmlformats.org/officeDocument/2006/relationships/hyperlink" Target="https://ru.wikipedia.org/wiki/&#1052;&#1072;&#1089;&#1089;&#1086;&#1074;&#1099;&#1081;_&#1079;&#1072;&#1073;&#1086;&#1081;_&#1089;&#1082;&#1086;&#1090;&#1072;_&#1074;_&#1056;&#1086;&#1089;&#1089;&#1080;&#1080;_(2026)" TargetMode="External"/><Relationship Id="rId23" Type="http://schemas.openxmlformats.org/officeDocument/2006/relationships/hyperlink" Target="https://ru.wikipedia.org/wiki/&#1052;&#1072;&#1089;&#1089;&#1086;&#1074;&#1099;&#1081;_&#1079;&#1072;&#1073;&#1086;&#1081;_&#1089;&#1082;&#1086;&#1090;&#1072;_&#1074;_&#1056;&#1086;&#1089;&#1089;&#1080;&#1080;_(2026)" TargetMode="External"/><Relationship Id="rId24" Type="http://schemas.openxmlformats.org/officeDocument/2006/relationships/hyperlink" Target="https://www.currenttime.tv/a/novosibirskoy-oblasti-fermery-protestuyut-protiv-zaboya-skota/33710065.html" TargetMode="External"/><Relationship Id="rId25" Type="http://schemas.openxmlformats.org/officeDocument/2006/relationships/hyperlink" Target="https://www.yaplakal.com/forum2/topic3055342.html" TargetMode="External"/><Relationship Id="rId26" Type="http://schemas.openxmlformats.org/officeDocument/2006/relationships/hyperlink" Target="https://ru.wikipedia.org/wiki/&#1052;&#1072;&#1089;&#1089;&#1086;&#1074;&#1099;&#1081;_&#1079;&#1072;&#1073;&#1086;&#1081;_&#1089;&#1082;&#1086;&#1090;&#1072;_&#1074;_&#1056;&#1086;&#1089;&#1089;&#1080;&#1080;_(2026)" TargetMode="External"/><Relationship Id="rId27" Type="http://schemas.openxmlformats.org/officeDocument/2006/relationships/hyperlink" Target="https://meduza.io/feature/2026/03/18/sibirskie-fermery-prodolzhayut-protestovat-protiv-zaboya-domashnego-skota" TargetMode="External"/><Relationship Id="rId28" Type="http://schemas.openxmlformats.org/officeDocument/2006/relationships/hyperlink" Target="https://ru.wikipedia.org/wiki/&#1052;&#1072;&#1089;&#1089;&#1086;&#1074;&#1099;&#1081;_&#1079;&#1072;&#1073;&#1086;&#1081;_&#1089;&#1082;&#1086;&#1090;&#1072;_&#1074;_&#1056;&#1086;&#1089;&#1089;&#1080;&#1080;_(2026)" TargetMode="External"/><Relationship Id="rId29" Type="http://schemas.openxmlformats.org/officeDocument/2006/relationships/hyperlink" Target="https://ru.wikipedia.org/wiki/&#1052;&#1072;&#1089;&#1089;&#1086;&#1074;&#1099;&#1081;_&#1079;&#1072;&#1073;&#1086;&#1081;_&#1089;&#1082;&#1086;&#1090;&#1072;_&#1074;_&#1056;&#1086;&#1089;&#1089;&#1080;&#1080;_(2026)" TargetMode="External"/><Relationship Id="rId30" Type="http://schemas.openxmlformats.org/officeDocument/2006/relationships/hyperlink" Target="https://novayagazeta.ru/articles/2026/03/10/poshli-v-otkaz" TargetMode="External"/><Relationship Id="rId31" Type="http://schemas.openxmlformats.org/officeDocument/2006/relationships/hyperlink" Target="https://ru.wikipedia.org/wiki/&#1041;&#1083;&#1086;&#1082;&#1080;&#1088;&#1086;&#1074;&#1082;&#1072;_Telegram_&#1074;_&#1056;&#1086;&#1089;&#1089;&#1080;&#1080;_(2026)" TargetMode="External"/><Relationship Id="rId32" Type="http://schemas.openxmlformats.org/officeDocument/2006/relationships/hyperlink" Target="https://novayagazeta.eu/articles/2026/03/30/strim-kotoryi-sochli-mitingom" TargetMode="External"/><Relationship Id="rId33" Type="http://schemas.openxmlformats.org/officeDocument/2006/relationships/hyperlink" Target="https://kedr.media/news/novosibirskie-fermery-podali-isk-protiv-vlastej-iz-za-massovogo-izyatiya-skota/" TargetMode="External"/><Relationship Id="rId34" Type="http://schemas.openxmlformats.org/officeDocument/2006/relationships/hyperlink" Target="https://novayagazeta.ru/articles/2026/07/30/obyknovennoe-skotstvo" TargetMode="External"/><Relationship Id="rId35" Type="http://schemas.openxmlformats.org/officeDocument/2006/relationships/hyperlink" Target="https://t.me/nsk_smi/31348" TargetMode="External"/><Relationship Id="rId36" Type="http://schemas.openxmlformats.org/officeDocument/2006/relationships/hyperlink" Target="https://xn--54-1lclv.xn--p1ai/news/novosibirsk-miting-sohranim-kulturnoe-nasledie-zashhitim-stranu-07-08-26/" TargetMode="External"/><Relationship Id="rId37" Type="http://schemas.openxmlformats.org/officeDocument/2006/relationships/hyperlink" Target="https://t.me/nsk_smi/31724" TargetMode="External"/><Relationship Id="rId38" Type="http://schemas.openxmlformats.org/officeDocument/2006/relationships/hyperlink" Target="https://ngs55.ru/text/house/2026/01/27/76235217/" TargetMode="External"/><Relationship Id="rId39" Type="http://schemas.openxmlformats.org/officeDocument/2006/relationships/hyperlink" Target="https://rutube.ru/video/de2e0e058256883dee0063b95b0863a3/" TargetMode="External"/><Relationship Id="rId40" Type="http://schemas.openxmlformats.org/officeDocument/2006/relationships/hyperlink" Target="https://runews24.ru/tomsk/20/01/2026/v-tomskoj-oblasti-otmenili-piket-protiv-czenzuryi-v-internete" TargetMode="External"/><Relationship Id="rId41" Type="http://schemas.openxmlformats.org/officeDocument/2006/relationships/hyperlink" Target="https://rtvi.com/news/v-buryatii-kommunisty-anonsirovali-miting-protiv-blokirovok/" TargetMode="External"/><Relationship Id="rId42" Type="http://schemas.openxmlformats.org/officeDocument/2006/relationships/hyperlink" Target="https://kprf.ru/party-live/regnews/243547.html" TargetMode="External"/><Relationship Id="rId43" Type="http://schemas.openxmlformats.org/officeDocument/2006/relationships/hyperlink" Target="https://kprf.ru/party-live/regnews/246087.html" TargetMode="External"/><Relationship Id="rId44" Type="http://schemas.openxmlformats.org/officeDocument/2006/relationships/hyperlink" Target="https://14.ru/text/gorod/2026/03/26/76331005/" TargetMode="External"/><Relationship Id="rId45" Type="http://schemas.openxmlformats.org/officeDocument/2006/relationships/hyperlink" Target="https://baikal-journal.ru/2026/08/14/kprf-v-yakutske-popytalas-provesti-miting-a-meriya-snova-otkazala-pod-predlogom-tehnicheskih-rabot-na-pustoj-ploshhadi/" TargetMode="External"/><Relationship Id="rId46" Type="http://schemas.openxmlformats.org/officeDocument/2006/relationships/hyperlink" Target="https://www.chita.ru/text/education/2026/05/28/76444206/" TargetMode="External"/><Relationship Id="rId47" Type="http://schemas.openxmlformats.org/officeDocument/2006/relationships/hyperlink" Target="https://komros.info/regions/edge/kamchatka-krai/news/news_11253.html" TargetMode="External"/><Relationship Id="rId48" Type="http://schemas.openxmlformats.org/officeDocument/2006/relationships/hyperlink" Target="https://vladivostok1.ru/text/politics/2026/02/17/76268194/" TargetMode="External"/><Relationship Id="rId49" Type="http://schemas.openxmlformats.org/officeDocument/2006/relationships/hyperlink" Target="https://novayagazeta.ru/articles/2026/03/10/poshli-v-otkaz" TargetMode="External"/><Relationship Id="rId50" Type="http://schemas.openxmlformats.org/officeDocument/2006/relationships/hyperlink" Target="https://semnasem.org/news/2026/05/10/pravitelstvo-primorya-otkazalos-dobavit-po-prosbe-kommunista-eshe-odno-mesto-dlya-mitingov-vo-vladivostoke" TargetMode="External"/><Relationship Id="rId51" Type="http://schemas.openxmlformats.org/officeDocument/2006/relationships/hyperlink" Target="https://nemoskva.net/2025/11/11/miting-protiv-utilsbora-snova-otmenen-vladivostok-zakryt-na-remont-do-2026-goda/" TargetMode="External"/><Relationship Id="rId52" Type="http://schemas.openxmlformats.org/officeDocument/2006/relationships/hyperlink" Target="https://t.me/ussur_mikh_kray/37774" TargetMode="External"/><Relationship Id="rId53" Type="http://schemas.openxmlformats.org/officeDocument/2006/relationships/hyperlink" Target="https://novayagazeta.ru/articles/2026/03/10/poshli-v-otkaz" TargetMode="External"/><Relationship Id="rId54" Type="http://schemas.openxmlformats.org/officeDocument/2006/relationships/hyperlink" Target="https://novayagazeta.eu/articles/2026/04/12/sotni-kitaiskikh-rabochikh-vyshli-na-protest-v-khabarovskom-krae-iz-za-nevyplaty-zarplat-news" TargetMode="External"/><Relationship Id="rId55" Type="http://schemas.openxmlformats.org/officeDocument/2006/relationships/hyperlink" Target="https://novayagazeta.ru/articles/2026/04/13/krestnyi-khod-za-dengami" TargetMode="External"/><Relationship Id="rId56" Type="http://schemas.openxmlformats.org/officeDocument/2006/relationships/hyperlink" Target="https://m.vk.ru/wall-6283450_229285" TargetMode="External"/><Relationship Id="rId57" Type="http://schemas.openxmlformats.org/officeDocument/2006/relationships/hyperlink" Target="https://sakh.online/news/24/2026-07-30/v-yuzhno-sahalinske-proshel-miting-protiv-yaponskogo-diplomata-iz-za-shpionazha-i-detskoy-pornografii-520736" TargetMode="External"/><Relationship Id="rId58" Type="http://schemas.openxmlformats.org/officeDocument/2006/relationships/hyperlink" Target="https://gazeta-pravda.ru/issue/86-31867-1112-avgusta-2026-goda/zashchitniki-v-setyakh-kryuchkotvorstva/" TargetMode="External"/><Relationship Id="rId59" Type="http://schemas.openxmlformats.org/officeDocument/2006/relationships/hyperlink" Target="https://t.me/nabatnews_tg/6507" TargetMode="External"/><Relationship Id="rId60" Type="http://schemas.openxmlformats.org/officeDocument/2006/relationships/hyperlink" Target="https://ura.news/news/1053067491" TargetMode="External"/><Relationship Id="rId61" Type="http://schemas.openxmlformats.org/officeDocument/2006/relationships/hyperlink" Target="https://hmao.ldpr.ru/event/odinochnyy-piket-v-nizhnevartovske-gde-ekologiya-gde-novyy-poligon-/" TargetMode="External"/><Relationship Id="rId62" Type="http://schemas.openxmlformats.org/officeDocument/2006/relationships/hyperlink" Target="https://www.sibreal.org/a/29288539.html" TargetMode="External"/><Relationship Id="rId63" Type="http://schemas.openxmlformats.org/officeDocument/2006/relationships/hyperlink" Target="https://www.sibreal.org/a/30189408.html" TargetMode="External"/><Relationship Id="rId64" Type="http://schemas.openxmlformats.org/officeDocument/2006/relationships/hyperlink" Target="https://yakutia.info/article/212800" TargetMode="External"/><Relationship Id="rId65" Type="http://schemas.openxmlformats.org/officeDocument/2006/relationships/hyperlink" Target="https://tvknews.ru/publications/news/84663/" TargetMode="External"/><Relationship Id="rId66" Type="http://schemas.openxmlformats.org/officeDocument/2006/relationships/hyperlink" Target="https://www.svoboda.org/a/altay-protestuet-protiv-unichtozheniya-sistemy-samoupravleniya/33453220.html" TargetMode="External"/><Relationship Id="rId67" Type="http://schemas.openxmlformats.org/officeDocument/2006/relationships/hyperlink" Target="https://meduza.io/feature/2025/08/27/lyudi-ischut-dengi-na-benzin-gotovyat-transport-risuyut-plakaty" TargetMode="External"/><Relationship Id="rId68" Type="http://schemas.openxmlformats.org/officeDocument/2006/relationships/hyperlink" Target="https://primamedia.ru/news/2254615/" TargetMode="External"/><Relationship Id="rId69" Type="http://schemas.openxmlformats.org/officeDocument/2006/relationships/hyperlink" Target="https://novayagazeta.eu/articles/2025/11/20/toioty-russkoi-zimy" TargetMode="External"/><Relationship Id="rId70" Type="http://schemas.openxmlformats.org/officeDocument/2006/relationships/hyperlink" Target="https://nemoskva.net/2025/11/11/miting-protiv-utilsbora-snova-otmenen-vladivostok-zakryt-na-remont-do-2026-goda/" TargetMode="External"/><Relationship Id="rId71" Type="http://schemas.openxmlformats.org/officeDocument/2006/relationships/hyperlink" Target="https://novayagazeta.eu/articles/2025/11/20/toioty-russkoi-zimy" TargetMode="External"/><Relationship Id="rId72" Type="http://schemas.openxmlformats.org/officeDocument/2006/relationships/hyperlink" Target="https://kprf-saratov.ru/2026/02/balakovo-odinochnye-pikety-v-podderzhku-altajskih-tovarishhej/" TargetMode="External"/><Relationship Id="rId73" Type="http://schemas.openxmlformats.org/officeDocument/2006/relationships/hyperlink" Target="http://reporters.live/news/v-tjumeni-proshel-soglasovannyj-miting-protiv-rosta-tarifov-zhkh/" TargetMode="External"/><Relationship Id="rId7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3" ySplit="1" topLeftCell="D49" activePane="bottomRight" state="frozen"/>
      <selection pane="topLeft" activeCell="A1" activeCellId="0" sqref="A1"/>
      <selection pane="topRight" activeCell="D1" activeCellId="0" sqref="D1"/>
      <selection pane="bottomLeft" activeCell="A49" activeCellId="0" sqref="A49"/>
      <selection pane="bottomRight" activeCell="O12" activeCellId="0" sqref="O12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62"/>
    <col collapsed="false" customWidth="true" hidden="false" outlineLevel="0" max="11" min="11" style="1" width="14"/>
    <col collapsed="false" customWidth="true" hidden="false" outlineLevel="0" max="12" min="12" style="1" width="20"/>
    <col collapsed="false" customWidth="true" hidden="false" outlineLevel="0" max="13" min="13" style="1" width="15"/>
    <col collapsed="false" customWidth="true" hidden="false" outlineLevel="0" max="14" min="14" style="1" width="30"/>
    <col collapsed="false" customWidth="true" hidden="false" outlineLevel="0" max="15" min="15" style="1" width="13"/>
    <col collapsed="false" customWidth="true" hidden="false" outlineLevel="0" max="16" min="16" style="1" width="40"/>
    <col collapsed="false" customWidth="true" hidden="false" outlineLevel="0" max="17" min="17" style="1" width="22"/>
    <col collapsed="false" customWidth="true" hidden="false" outlineLevel="0" max="19" min="18" style="1" width="4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45.75" hidden="false" customHeight="true" outlineLevel="0" collapsed="false">
      <c r="A3" s="5"/>
      <c r="B3" s="6" t="s">
        <v>20</v>
      </c>
      <c r="C3" s="6" t="s">
        <v>19</v>
      </c>
      <c r="D3" s="5"/>
      <c r="E3" s="5"/>
      <c r="F3" s="5"/>
      <c r="G3" s="5"/>
      <c r="H3" s="5"/>
      <c r="I3" s="5"/>
      <c r="J3" s="7" t="s">
        <v>21</v>
      </c>
      <c r="K3" s="5"/>
      <c r="L3" s="5"/>
      <c r="M3" s="5"/>
      <c r="N3" s="5"/>
      <c r="O3" s="6" t="s">
        <v>22</v>
      </c>
      <c r="P3" s="5"/>
      <c r="Q3" s="5"/>
      <c r="R3" s="5"/>
      <c r="S3" s="5"/>
    </row>
    <row r="4" customFormat="false" ht="19.5" hidden="false" customHeight="true" outlineLevel="0" collapsed="false">
      <c r="A4" s="8"/>
      <c r="B4" s="8" t="s">
        <v>20</v>
      </c>
      <c r="C4" s="8" t="s">
        <v>19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19.5" hidden="false" customHeight="true" outlineLevel="0" collapsed="false">
      <c r="A5" s="8"/>
      <c r="B5" s="8" t="s">
        <v>20</v>
      </c>
      <c r="C5" s="8" t="s">
        <v>19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19.5" hidden="false" customHeight="true" outlineLevel="0" collapsed="false">
      <c r="A6" s="8"/>
      <c r="B6" s="8" t="s">
        <v>20</v>
      </c>
      <c r="C6" s="8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19.5" hidden="false" customHeight="true" outlineLevel="0" collapsed="false">
      <c r="A7" s="8"/>
      <c r="B7" s="8" t="s">
        <v>20</v>
      </c>
      <c r="C7" s="8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15" hidden="false" customHeight="false" outlineLevel="0" collapsed="false">
      <c r="A8" s="9" t="s">
        <v>23</v>
      </c>
      <c r="B8" s="10"/>
      <c r="C8" s="10"/>
      <c r="D8" s="10"/>
      <c r="E8" s="10"/>
      <c r="F8" s="10"/>
      <c r="G8" s="10"/>
      <c r="H8" s="10"/>
      <c r="I8" s="10"/>
      <c r="J8" s="9" t="str">
        <f aca="false">CONCATENATE("Погоджено: ",COUNTIF(O3:O7,"Погоджено"),"   ·   Межових: ",COUNTIF(O3:O7,"Межовий"),"   ·   Відкинуто: ",COUNTIF(O3:O7,"Відкинуто"))</f>
        <v>Погоджено: 0   ·   Межових: 0   ·   Відкинуто: 0</v>
      </c>
      <c r="K8" s="10"/>
      <c r="L8" s="10"/>
      <c r="M8" s="10"/>
      <c r="N8" s="10"/>
      <c r="O8" s="9" t="n">
        <f aca="false">COUNTIF(O3:O7,"Погоджено")</f>
        <v>0</v>
      </c>
      <c r="P8" s="10"/>
      <c r="Q8" s="10"/>
      <c r="R8" s="10"/>
      <c r="S8" s="10"/>
    </row>
    <row r="10" customFormat="false" ht="15" hidden="false" customHeight="false" outlineLevel="0" collapsed="false">
      <c r="A10" s="3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48" hidden="false" customHeight="true" outlineLevel="0" collapsed="false">
      <c r="A11" s="11" t="n">
        <v>1</v>
      </c>
      <c r="B11" s="11" t="s">
        <v>20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/>
      <c r="L11" s="11" t="s">
        <v>32</v>
      </c>
      <c r="M11" s="11" t="s">
        <v>33</v>
      </c>
      <c r="N11" s="11" t="s">
        <v>29</v>
      </c>
      <c r="O11" s="11" t="s">
        <v>34</v>
      </c>
      <c r="P11" s="11"/>
      <c r="Q11" s="11" t="s">
        <v>35</v>
      </c>
      <c r="R11" s="12" t="s">
        <v>36</v>
      </c>
      <c r="S11" s="11"/>
    </row>
    <row r="12" customFormat="false" ht="48" hidden="false" customHeight="true" outlineLevel="0" collapsed="false">
      <c r="A12" s="11" t="n">
        <v>2</v>
      </c>
      <c r="B12" s="11" t="s">
        <v>20</v>
      </c>
      <c r="C12" s="11" t="s">
        <v>24</v>
      </c>
      <c r="D12" s="11" t="s">
        <v>37</v>
      </c>
      <c r="E12" s="11" t="s">
        <v>38</v>
      </c>
      <c r="F12" s="11" t="s">
        <v>24</v>
      </c>
      <c r="G12" s="11" t="s">
        <v>39</v>
      </c>
      <c r="H12" s="11" t="s">
        <v>40</v>
      </c>
      <c r="I12" s="11" t="s">
        <v>41</v>
      </c>
      <c r="J12" s="11" t="s">
        <v>42</v>
      </c>
      <c r="K12" s="11"/>
      <c r="L12" s="11" t="s">
        <v>43</v>
      </c>
      <c r="M12" s="11" t="s">
        <v>33</v>
      </c>
      <c r="N12" s="11" t="s">
        <v>44</v>
      </c>
      <c r="O12" s="11" t="s">
        <v>45</v>
      </c>
      <c r="P12" s="11" t="s">
        <v>46</v>
      </c>
      <c r="Q12" s="11" t="s">
        <v>35</v>
      </c>
      <c r="R12" s="12" t="s">
        <v>47</v>
      </c>
      <c r="S12" s="12" t="s">
        <v>48</v>
      </c>
    </row>
    <row r="13" customFormat="false" ht="48" hidden="false" customHeight="true" outlineLevel="0" collapsed="false">
      <c r="A13" s="11" t="n">
        <v>3</v>
      </c>
      <c r="B13" s="11" t="s">
        <v>20</v>
      </c>
      <c r="C13" s="11" t="s">
        <v>24</v>
      </c>
      <c r="D13" s="11" t="s">
        <v>49</v>
      </c>
      <c r="E13" s="11" t="s">
        <v>38</v>
      </c>
      <c r="F13" s="11" t="s">
        <v>27</v>
      </c>
      <c r="G13" s="11" t="s">
        <v>39</v>
      </c>
      <c r="H13" s="11" t="s">
        <v>40</v>
      </c>
      <c r="I13" s="11" t="s">
        <v>41</v>
      </c>
      <c r="J13" s="11" t="s">
        <v>50</v>
      </c>
      <c r="K13" s="11"/>
      <c r="L13" s="11" t="s">
        <v>51</v>
      </c>
      <c r="M13" s="11" t="s">
        <v>33</v>
      </c>
      <c r="N13" s="11" t="s">
        <v>44</v>
      </c>
      <c r="O13" s="11" t="s">
        <v>45</v>
      </c>
      <c r="P13" s="11" t="s">
        <v>52</v>
      </c>
      <c r="Q13" s="11" t="s">
        <v>53</v>
      </c>
      <c r="R13" s="12" t="s">
        <v>54</v>
      </c>
      <c r="S13" s="11"/>
    </row>
    <row r="14" customFormat="false" ht="48" hidden="false" customHeight="true" outlineLevel="0" collapsed="false">
      <c r="A14" s="11" t="n">
        <v>4</v>
      </c>
      <c r="B14" s="11" t="s">
        <v>20</v>
      </c>
      <c r="C14" s="11" t="s">
        <v>24</v>
      </c>
      <c r="D14" s="11" t="s">
        <v>55</v>
      </c>
      <c r="E14" s="11" t="s">
        <v>38</v>
      </c>
      <c r="F14" s="11" t="s">
        <v>24</v>
      </c>
      <c r="G14" s="11" t="s">
        <v>56</v>
      </c>
      <c r="H14" s="11" t="s">
        <v>57</v>
      </c>
      <c r="I14" s="11" t="s">
        <v>41</v>
      </c>
      <c r="J14" s="11" t="s">
        <v>58</v>
      </c>
      <c r="K14" s="11"/>
      <c r="L14" s="11" t="s">
        <v>59</v>
      </c>
      <c r="M14" s="11" t="s">
        <v>60</v>
      </c>
      <c r="N14" s="11" t="s">
        <v>61</v>
      </c>
      <c r="O14" s="11" t="s">
        <v>34</v>
      </c>
      <c r="P14" s="11" t="s">
        <v>62</v>
      </c>
      <c r="Q14" s="11" t="s">
        <v>53</v>
      </c>
      <c r="R14" s="12" t="s">
        <v>63</v>
      </c>
      <c r="S14" s="11"/>
    </row>
    <row r="15" customFormat="false" ht="48" hidden="false" customHeight="true" outlineLevel="0" collapsed="false">
      <c r="A15" s="11" t="n">
        <v>5</v>
      </c>
      <c r="B15" s="11" t="s">
        <v>20</v>
      </c>
      <c r="C15" s="11" t="s">
        <v>24</v>
      </c>
      <c r="D15" s="11" t="s">
        <v>64</v>
      </c>
      <c r="E15" s="11" t="s">
        <v>38</v>
      </c>
      <c r="F15" s="11" t="s">
        <v>27</v>
      </c>
      <c r="G15" s="11" t="s">
        <v>65</v>
      </c>
      <c r="H15" s="11" t="s">
        <v>66</v>
      </c>
      <c r="I15" s="11" t="s">
        <v>41</v>
      </c>
      <c r="J15" s="11" t="s">
        <v>67</v>
      </c>
      <c r="K15" s="11"/>
      <c r="L15" s="11" t="s">
        <v>68</v>
      </c>
      <c r="M15" s="11" t="s">
        <v>69</v>
      </c>
      <c r="N15" s="11" t="s">
        <v>44</v>
      </c>
      <c r="O15" s="11" t="s">
        <v>70</v>
      </c>
      <c r="P15" s="11" t="s">
        <v>71</v>
      </c>
      <c r="Q15" s="11" t="s">
        <v>53</v>
      </c>
      <c r="R15" s="12" t="s">
        <v>72</v>
      </c>
      <c r="S15" s="11"/>
    </row>
    <row r="16" customFormat="false" ht="19.5" hidden="false" customHeight="true" outlineLevel="0" collapsed="false">
      <c r="A16" s="8"/>
      <c r="B16" s="8" t="s">
        <v>20</v>
      </c>
      <c r="C16" s="8" t="s">
        <v>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19.5" hidden="false" customHeight="true" outlineLevel="0" collapsed="false">
      <c r="A17" s="8"/>
      <c r="B17" s="8" t="s">
        <v>20</v>
      </c>
      <c r="C17" s="8" t="s">
        <v>24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19.5" hidden="false" customHeight="true" outlineLevel="0" collapsed="false">
      <c r="A18" s="8"/>
      <c r="B18" s="8" t="s">
        <v>20</v>
      </c>
      <c r="C18" s="8" t="s">
        <v>24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19.5" hidden="false" customHeight="true" outlineLevel="0" collapsed="false">
      <c r="A19" s="8"/>
      <c r="B19" s="8" t="s">
        <v>20</v>
      </c>
      <c r="C19" s="8" t="s">
        <v>24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15" hidden="false" customHeight="false" outlineLevel="0" collapsed="false">
      <c r="A20" s="9" t="s">
        <v>23</v>
      </c>
      <c r="B20" s="10"/>
      <c r="C20" s="10"/>
      <c r="D20" s="10"/>
      <c r="E20" s="10"/>
      <c r="F20" s="10"/>
      <c r="G20" s="10"/>
      <c r="H20" s="10"/>
      <c r="I20" s="10"/>
      <c r="J20" s="9" t="str">
        <f aca="false">CONCATENATE("Погоджено: ",COUNTIF(O11:O19,"Погоджено"),"   ·   Межових: ",COUNTIF(O11:O19,"Межовий"),"   ·   Відкинуто: ",COUNTIF(O11:O19,"Відкинуто"))</f>
        <v>Погоджено: 2   ·   Межових: 2   ·   Відкинуто: 1</v>
      </c>
      <c r="K20" s="10"/>
      <c r="L20" s="10"/>
      <c r="M20" s="10"/>
      <c r="N20" s="10"/>
      <c r="O20" s="9" t="n">
        <f aca="false">COUNTIF(O11:O19,"Погоджено")</f>
        <v>2</v>
      </c>
      <c r="P20" s="10"/>
      <c r="Q20" s="10"/>
      <c r="R20" s="10"/>
      <c r="S20" s="10"/>
    </row>
    <row r="22" customFormat="false" ht="15" hidden="false" customHeight="false" outlineLevel="0" collapsed="false">
      <c r="A22" s="3" t="s">
        <v>73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48" hidden="false" customHeight="true" outlineLevel="0" collapsed="false">
      <c r="A23" s="11" t="n">
        <v>6</v>
      </c>
      <c r="B23" s="11" t="s">
        <v>20</v>
      </c>
      <c r="C23" s="11" t="s">
        <v>73</v>
      </c>
      <c r="D23" s="11" t="s">
        <v>74</v>
      </c>
      <c r="E23" s="11" t="s">
        <v>26</v>
      </c>
      <c r="F23" s="11" t="s">
        <v>75</v>
      </c>
      <c r="G23" s="11" t="s">
        <v>65</v>
      </c>
      <c r="H23" s="11" t="s">
        <v>57</v>
      </c>
      <c r="I23" s="11" t="s">
        <v>76</v>
      </c>
      <c r="J23" s="11" t="s">
        <v>77</v>
      </c>
      <c r="K23" s="11"/>
      <c r="L23" s="11" t="s">
        <v>78</v>
      </c>
      <c r="M23" s="11" t="s">
        <v>69</v>
      </c>
      <c r="N23" s="11" t="s">
        <v>44</v>
      </c>
      <c r="O23" s="11" t="s">
        <v>70</v>
      </c>
      <c r="P23" s="11" t="s">
        <v>79</v>
      </c>
      <c r="Q23" s="11" t="s">
        <v>35</v>
      </c>
      <c r="R23" s="12" t="s">
        <v>80</v>
      </c>
      <c r="S23" s="11"/>
    </row>
    <row r="24" customFormat="false" ht="48" hidden="false" customHeight="true" outlineLevel="0" collapsed="false">
      <c r="A24" s="11" t="n">
        <v>7</v>
      </c>
      <c r="B24" s="11" t="s">
        <v>20</v>
      </c>
      <c r="C24" s="11" t="s">
        <v>73</v>
      </c>
      <c r="D24" s="11" t="s">
        <v>74</v>
      </c>
      <c r="E24" s="11" t="s">
        <v>26</v>
      </c>
      <c r="F24" s="11" t="s">
        <v>73</v>
      </c>
      <c r="G24" s="11" t="s">
        <v>65</v>
      </c>
      <c r="H24" s="11" t="s">
        <v>57</v>
      </c>
      <c r="I24" s="11" t="s">
        <v>76</v>
      </c>
      <c r="J24" s="11" t="s">
        <v>81</v>
      </c>
      <c r="K24" s="11"/>
      <c r="L24" s="11" t="s">
        <v>82</v>
      </c>
      <c r="M24" s="11" t="s">
        <v>33</v>
      </c>
      <c r="N24" s="11" t="s">
        <v>44</v>
      </c>
      <c r="O24" s="11" t="s">
        <v>70</v>
      </c>
      <c r="P24" s="11" t="s">
        <v>83</v>
      </c>
      <c r="Q24" s="11" t="s">
        <v>35</v>
      </c>
      <c r="R24" s="12" t="s">
        <v>80</v>
      </c>
      <c r="S24" s="11"/>
    </row>
    <row r="25" customFormat="false" ht="19.5" hidden="false" customHeight="true" outlineLevel="0" collapsed="false">
      <c r="A25" s="8"/>
      <c r="B25" s="8" t="s">
        <v>20</v>
      </c>
      <c r="C25" s="8" t="s">
        <v>73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9.5" hidden="false" customHeight="true" outlineLevel="0" collapsed="false">
      <c r="A26" s="8"/>
      <c r="B26" s="8" t="s">
        <v>20</v>
      </c>
      <c r="C26" s="8" t="s">
        <v>73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9.5" hidden="false" customHeight="true" outlineLevel="0" collapsed="false">
      <c r="A27" s="8"/>
      <c r="B27" s="8" t="s">
        <v>20</v>
      </c>
      <c r="C27" s="8" t="s">
        <v>73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9.5" hidden="false" customHeight="true" outlineLevel="0" collapsed="false">
      <c r="A28" s="8"/>
      <c r="B28" s="8" t="s">
        <v>20</v>
      </c>
      <c r="C28" s="8" t="s">
        <v>73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" hidden="false" customHeight="false" outlineLevel="0" collapsed="false">
      <c r="A29" s="9" t="s">
        <v>23</v>
      </c>
      <c r="B29" s="10"/>
      <c r="C29" s="10"/>
      <c r="D29" s="10"/>
      <c r="E29" s="10"/>
      <c r="F29" s="10"/>
      <c r="G29" s="10"/>
      <c r="H29" s="10"/>
      <c r="I29" s="10"/>
      <c r="J29" s="9" t="str">
        <f aca="false">CONCATENATE("Погоджено: ",COUNTIF(O23:O28,"Погоджено"),"   ·   Межових: ",COUNTIF(O23:O28,"Межовий"),"   ·   Відкинуто: ",COUNTIF(O23:O28,"Відкинуто"))</f>
        <v>Погоджено: 0   ·   Межових: 0   ·   Відкинуто: 2</v>
      </c>
      <c r="K29" s="10"/>
      <c r="L29" s="10"/>
      <c r="M29" s="10"/>
      <c r="N29" s="10"/>
      <c r="O29" s="9" t="n">
        <f aca="false">COUNTIF(O23:O28,"Погоджено")</f>
        <v>0</v>
      </c>
      <c r="P29" s="10"/>
      <c r="Q29" s="10"/>
      <c r="R29" s="10"/>
      <c r="S29" s="10"/>
    </row>
    <row r="31" customFormat="false" ht="15" hidden="false" customHeight="false" outlineLevel="0" collapsed="false">
      <c r="A31" s="3" t="s">
        <v>84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48" hidden="false" customHeight="true" outlineLevel="0" collapsed="false">
      <c r="A32" s="11" t="n">
        <v>8</v>
      </c>
      <c r="B32" s="11" t="s">
        <v>20</v>
      </c>
      <c r="C32" s="11" t="s">
        <v>84</v>
      </c>
      <c r="D32" s="11" t="s">
        <v>85</v>
      </c>
      <c r="E32" s="11" t="s">
        <v>38</v>
      </c>
      <c r="F32" s="11" t="s">
        <v>86</v>
      </c>
      <c r="G32" s="11" t="s">
        <v>65</v>
      </c>
      <c r="H32" s="11" t="s">
        <v>87</v>
      </c>
      <c r="I32" s="11" t="s">
        <v>41</v>
      </c>
      <c r="J32" s="11" t="s">
        <v>88</v>
      </c>
      <c r="K32" s="11" t="s">
        <v>89</v>
      </c>
      <c r="L32" s="11" t="s">
        <v>90</v>
      </c>
      <c r="M32" s="11" t="s">
        <v>69</v>
      </c>
      <c r="N32" s="11" t="s">
        <v>91</v>
      </c>
      <c r="O32" s="11" t="s">
        <v>70</v>
      </c>
      <c r="P32" s="11" t="s">
        <v>92</v>
      </c>
      <c r="Q32" s="11" t="s">
        <v>35</v>
      </c>
      <c r="R32" s="12" t="s">
        <v>93</v>
      </c>
      <c r="S32" s="11"/>
    </row>
    <row r="33" customFormat="false" ht="48" hidden="false" customHeight="true" outlineLevel="0" collapsed="false">
      <c r="A33" s="11" t="n">
        <v>9</v>
      </c>
      <c r="B33" s="11" t="s">
        <v>20</v>
      </c>
      <c r="C33" s="11" t="s">
        <v>84</v>
      </c>
      <c r="D33" s="11" t="s">
        <v>94</v>
      </c>
      <c r="E33" s="11" t="s">
        <v>38</v>
      </c>
      <c r="F33" s="11" t="s">
        <v>86</v>
      </c>
      <c r="G33" s="11" t="s">
        <v>95</v>
      </c>
      <c r="H33" s="11" t="s">
        <v>96</v>
      </c>
      <c r="I33" s="11" t="s">
        <v>41</v>
      </c>
      <c r="J33" s="11" t="s">
        <v>97</v>
      </c>
      <c r="K33" s="11" t="s">
        <v>98</v>
      </c>
      <c r="L33" s="11" t="s">
        <v>99</v>
      </c>
      <c r="M33" s="11" t="s">
        <v>33</v>
      </c>
      <c r="N33" s="11" t="s">
        <v>100</v>
      </c>
      <c r="O33" s="11" t="s">
        <v>34</v>
      </c>
      <c r="P33" s="11"/>
      <c r="Q33" s="11" t="s">
        <v>35</v>
      </c>
      <c r="R33" s="12" t="s">
        <v>101</v>
      </c>
      <c r="S33" s="12" t="s">
        <v>102</v>
      </c>
    </row>
    <row r="34" customFormat="false" ht="19.5" hidden="false" customHeight="true" outlineLevel="0" collapsed="false">
      <c r="A34" s="8"/>
      <c r="B34" s="8" t="s">
        <v>20</v>
      </c>
      <c r="C34" s="8" t="s">
        <v>84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9.5" hidden="false" customHeight="true" outlineLevel="0" collapsed="false">
      <c r="A35" s="8"/>
      <c r="B35" s="8" t="s">
        <v>20</v>
      </c>
      <c r="C35" s="8" t="s">
        <v>84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customFormat="false" ht="19.5" hidden="false" customHeight="true" outlineLevel="0" collapsed="false">
      <c r="A36" s="8"/>
      <c r="B36" s="8" t="s">
        <v>20</v>
      </c>
      <c r="C36" s="8" t="s">
        <v>84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customFormat="false" ht="19.5" hidden="false" customHeight="true" outlineLevel="0" collapsed="false">
      <c r="A37" s="8"/>
      <c r="B37" s="8" t="s">
        <v>20</v>
      </c>
      <c r="C37" s="8" t="s">
        <v>84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customFormat="false" ht="15" hidden="false" customHeight="false" outlineLevel="0" collapsed="false">
      <c r="A38" s="9" t="s">
        <v>23</v>
      </c>
      <c r="B38" s="10"/>
      <c r="C38" s="10"/>
      <c r="D38" s="10"/>
      <c r="E38" s="10"/>
      <c r="F38" s="10"/>
      <c r="G38" s="10"/>
      <c r="H38" s="10"/>
      <c r="I38" s="10"/>
      <c r="J38" s="9" t="str">
        <f aca="false">CONCATENATE("Погоджено: ",COUNTIF(O32:O37,"Погоджено"),"   ·   Межових: ",COUNTIF(O32:O37,"Межовий"),"   ·   Відкинуто: ",COUNTIF(O32:O37,"Відкинуто"))</f>
        <v>Погоджено: 1   ·   Межових: 0   ·   Відкинуто: 1</v>
      </c>
      <c r="K38" s="10"/>
      <c r="L38" s="10"/>
      <c r="M38" s="10"/>
      <c r="N38" s="10"/>
      <c r="O38" s="9" t="n">
        <f aca="false">COUNTIF(O32:O37,"Погоджено")</f>
        <v>1</v>
      </c>
      <c r="P38" s="10"/>
      <c r="Q38" s="10"/>
      <c r="R38" s="10"/>
      <c r="S38" s="10"/>
    </row>
    <row r="40" customFormat="false" ht="15" hidden="false" customHeight="false" outlineLevel="0" collapsed="false">
      <c r="A40" s="3" t="s">
        <v>103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45.75" hidden="false" customHeight="true" outlineLevel="0" collapsed="false">
      <c r="A41" s="5"/>
      <c r="B41" s="6" t="s">
        <v>20</v>
      </c>
      <c r="C41" s="6" t="s">
        <v>103</v>
      </c>
      <c r="D41" s="5"/>
      <c r="E41" s="5"/>
      <c r="F41" s="5"/>
      <c r="G41" s="5"/>
      <c r="H41" s="5"/>
      <c r="I41" s="5"/>
      <c r="J41" s="7" t="s">
        <v>104</v>
      </c>
      <c r="K41" s="5"/>
      <c r="L41" s="5"/>
      <c r="M41" s="5"/>
      <c r="N41" s="5"/>
      <c r="O41" s="6" t="s">
        <v>22</v>
      </c>
      <c r="P41" s="5"/>
      <c r="Q41" s="6" t="s">
        <v>53</v>
      </c>
      <c r="R41" s="12" t="s">
        <v>105</v>
      </c>
      <c r="S41" s="5"/>
    </row>
    <row r="42" customFormat="false" ht="19.5" hidden="false" customHeight="true" outlineLevel="0" collapsed="false">
      <c r="A42" s="8"/>
      <c r="B42" s="8" t="s">
        <v>20</v>
      </c>
      <c r="C42" s="8" t="s">
        <v>103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customFormat="false" ht="19.5" hidden="false" customHeight="true" outlineLevel="0" collapsed="false">
      <c r="A43" s="8"/>
      <c r="B43" s="8" t="s">
        <v>20</v>
      </c>
      <c r="C43" s="8" t="s">
        <v>103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9.5" hidden="false" customHeight="true" outlineLevel="0" collapsed="false">
      <c r="A44" s="8"/>
      <c r="B44" s="8" t="s">
        <v>20</v>
      </c>
      <c r="C44" s="8" t="s">
        <v>103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customFormat="false" ht="19.5" hidden="false" customHeight="true" outlineLevel="0" collapsed="false">
      <c r="A45" s="8"/>
      <c r="B45" s="8" t="s">
        <v>20</v>
      </c>
      <c r="C45" s="8" t="s">
        <v>103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customFormat="false" ht="15" hidden="false" customHeight="false" outlineLevel="0" collapsed="false">
      <c r="A46" s="9" t="s">
        <v>23</v>
      </c>
      <c r="B46" s="10"/>
      <c r="C46" s="10"/>
      <c r="D46" s="10"/>
      <c r="E46" s="10"/>
      <c r="F46" s="10"/>
      <c r="G46" s="10"/>
      <c r="H46" s="10"/>
      <c r="I46" s="10"/>
      <c r="J46" s="9" t="str">
        <f aca="false">CONCATENATE("Погоджено: ",COUNTIF(O41:O45,"Погоджено"),"   ·   Межових: ",COUNTIF(O41:O45,"Межовий"),"   ·   Відкинуто: ",COUNTIF(O41:O45,"Відкинуто"))</f>
        <v>Погоджено: 0   ·   Межових: 0   ·   Відкинуто: 0</v>
      </c>
      <c r="K46" s="10"/>
      <c r="L46" s="10"/>
      <c r="M46" s="10"/>
      <c r="N46" s="10"/>
      <c r="O46" s="9" t="n">
        <f aca="false">COUNTIF(O41:O45,"Погоджено")</f>
        <v>0</v>
      </c>
      <c r="P46" s="10"/>
      <c r="Q46" s="10"/>
      <c r="R46" s="10"/>
      <c r="S46" s="10"/>
    </row>
    <row r="48" customFormat="false" ht="15" hidden="false" customHeight="false" outlineLevel="0" collapsed="false">
      <c r="A48" s="3" t="s">
        <v>106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48" hidden="false" customHeight="true" outlineLevel="0" collapsed="false">
      <c r="A49" s="11" t="n">
        <v>10</v>
      </c>
      <c r="B49" s="11" t="s">
        <v>20</v>
      </c>
      <c r="C49" s="11" t="s">
        <v>106</v>
      </c>
      <c r="D49" s="11" t="s">
        <v>25</v>
      </c>
      <c r="E49" s="11" t="s">
        <v>26</v>
      </c>
      <c r="F49" s="11" t="s">
        <v>107</v>
      </c>
      <c r="G49" s="11" t="s">
        <v>28</v>
      </c>
      <c r="H49" s="11" t="s">
        <v>29</v>
      </c>
      <c r="I49" s="11" t="s">
        <v>30</v>
      </c>
      <c r="J49" s="11" t="s">
        <v>108</v>
      </c>
      <c r="K49" s="11" t="s">
        <v>109</v>
      </c>
      <c r="L49" s="11" t="s">
        <v>110</v>
      </c>
      <c r="M49" s="11" t="s">
        <v>33</v>
      </c>
      <c r="N49" s="11" t="s">
        <v>111</v>
      </c>
      <c r="O49" s="11" t="s">
        <v>34</v>
      </c>
      <c r="P49" s="11"/>
      <c r="Q49" s="11" t="s">
        <v>35</v>
      </c>
      <c r="R49" s="12" t="s">
        <v>36</v>
      </c>
      <c r="S49" s="11"/>
    </row>
    <row r="50" customFormat="false" ht="48" hidden="false" customHeight="true" outlineLevel="0" collapsed="false">
      <c r="A50" s="11" t="n">
        <v>11</v>
      </c>
      <c r="B50" s="11" t="s">
        <v>20</v>
      </c>
      <c r="C50" s="11" t="s">
        <v>106</v>
      </c>
      <c r="D50" s="11" t="s">
        <v>112</v>
      </c>
      <c r="E50" s="11" t="s">
        <v>38</v>
      </c>
      <c r="F50" s="11" t="s">
        <v>107</v>
      </c>
      <c r="G50" s="11" t="s">
        <v>28</v>
      </c>
      <c r="H50" s="11" t="s">
        <v>96</v>
      </c>
      <c r="I50" s="11" t="s">
        <v>41</v>
      </c>
      <c r="J50" s="11" t="s">
        <v>113</v>
      </c>
      <c r="K50" s="11" t="s">
        <v>98</v>
      </c>
      <c r="L50" s="11" t="s">
        <v>110</v>
      </c>
      <c r="M50" s="11" t="s">
        <v>33</v>
      </c>
      <c r="N50" s="11" t="s">
        <v>44</v>
      </c>
      <c r="O50" s="11" t="s">
        <v>34</v>
      </c>
      <c r="P50" s="11"/>
      <c r="Q50" s="11" t="s">
        <v>35</v>
      </c>
      <c r="R50" s="12" t="s">
        <v>114</v>
      </c>
      <c r="S50" s="11"/>
    </row>
    <row r="51" customFormat="false" ht="48" hidden="false" customHeight="true" outlineLevel="0" collapsed="false">
      <c r="A51" s="11" t="n">
        <v>12</v>
      </c>
      <c r="B51" s="11" t="s">
        <v>20</v>
      </c>
      <c r="C51" s="11" t="s">
        <v>106</v>
      </c>
      <c r="D51" s="11" t="s">
        <v>115</v>
      </c>
      <c r="E51" s="11" t="s">
        <v>38</v>
      </c>
      <c r="F51" s="11" t="s">
        <v>107</v>
      </c>
      <c r="G51" s="11" t="s">
        <v>65</v>
      </c>
      <c r="H51" s="11" t="s">
        <v>116</v>
      </c>
      <c r="I51" s="11" t="s">
        <v>41</v>
      </c>
      <c r="J51" s="11" t="s">
        <v>117</v>
      </c>
      <c r="K51" s="11"/>
      <c r="L51" s="11" t="s">
        <v>118</v>
      </c>
      <c r="M51" s="11" t="s">
        <v>60</v>
      </c>
      <c r="N51" s="11" t="s">
        <v>44</v>
      </c>
      <c r="O51" s="11" t="s">
        <v>70</v>
      </c>
      <c r="P51" s="11" t="s">
        <v>119</v>
      </c>
      <c r="Q51" s="11" t="s">
        <v>35</v>
      </c>
      <c r="R51" s="12" t="s">
        <v>120</v>
      </c>
      <c r="S51" s="11"/>
    </row>
    <row r="52" customFormat="false" ht="48" hidden="false" customHeight="true" outlineLevel="0" collapsed="false">
      <c r="A52" s="11" t="n">
        <v>13</v>
      </c>
      <c r="B52" s="11" t="s">
        <v>20</v>
      </c>
      <c r="C52" s="11" t="s">
        <v>106</v>
      </c>
      <c r="D52" s="11" t="s">
        <v>121</v>
      </c>
      <c r="E52" s="11" t="s">
        <v>38</v>
      </c>
      <c r="F52" s="11" t="s">
        <v>107</v>
      </c>
      <c r="G52" s="11" t="s">
        <v>65</v>
      </c>
      <c r="H52" s="11" t="s">
        <v>66</v>
      </c>
      <c r="I52" s="11" t="s">
        <v>41</v>
      </c>
      <c r="J52" s="11" t="s">
        <v>122</v>
      </c>
      <c r="K52" s="11" t="s">
        <v>123</v>
      </c>
      <c r="L52" s="11" t="s">
        <v>118</v>
      </c>
      <c r="M52" s="11" t="s">
        <v>60</v>
      </c>
      <c r="N52" s="11" t="s">
        <v>44</v>
      </c>
      <c r="O52" s="11" t="s">
        <v>70</v>
      </c>
      <c r="P52" s="11" t="s">
        <v>124</v>
      </c>
      <c r="Q52" s="11" t="s">
        <v>53</v>
      </c>
      <c r="R52" s="12" t="s">
        <v>125</v>
      </c>
      <c r="S52" s="11"/>
    </row>
    <row r="53" customFormat="false" ht="48" hidden="false" customHeight="true" outlineLevel="0" collapsed="false">
      <c r="A53" s="11" t="n">
        <v>14</v>
      </c>
      <c r="B53" s="11" t="s">
        <v>20</v>
      </c>
      <c r="C53" s="11" t="s">
        <v>106</v>
      </c>
      <c r="D53" s="11" t="s">
        <v>126</v>
      </c>
      <c r="E53" s="11" t="s">
        <v>38</v>
      </c>
      <c r="F53" s="11" t="s">
        <v>127</v>
      </c>
      <c r="G53" s="11" t="s">
        <v>65</v>
      </c>
      <c r="H53" s="11" t="s">
        <v>116</v>
      </c>
      <c r="I53" s="11" t="s">
        <v>41</v>
      </c>
      <c r="J53" s="11" t="s">
        <v>128</v>
      </c>
      <c r="K53" s="11" t="s">
        <v>129</v>
      </c>
      <c r="L53" s="11" t="s">
        <v>68</v>
      </c>
      <c r="M53" s="11" t="s">
        <v>33</v>
      </c>
      <c r="N53" s="11" t="s">
        <v>130</v>
      </c>
      <c r="O53" s="11" t="s">
        <v>34</v>
      </c>
      <c r="P53" s="11"/>
      <c r="Q53" s="11" t="s">
        <v>131</v>
      </c>
      <c r="R53" s="12" t="s">
        <v>132</v>
      </c>
      <c r="S53" s="11"/>
    </row>
    <row r="54" customFormat="false" ht="48" hidden="false" customHeight="true" outlineLevel="0" collapsed="false">
      <c r="A54" s="11" t="n">
        <v>15</v>
      </c>
      <c r="B54" s="11" t="s">
        <v>20</v>
      </c>
      <c r="C54" s="11" t="s">
        <v>106</v>
      </c>
      <c r="D54" s="11" t="s">
        <v>133</v>
      </c>
      <c r="E54" s="11" t="s">
        <v>38</v>
      </c>
      <c r="F54" s="11" t="s">
        <v>134</v>
      </c>
      <c r="G54" s="11" t="s">
        <v>65</v>
      </c>
      <c r="H54" s="11" t="s">
        <v>135</v>
      </c>
      <c r="I54" s="11" t="s">
        <v>41</v>
      </c>
      <c r="J54" s="11" t="s">
        <v>136</v>
      </c>
      <c r="K54" s="11"/>
      <c r="L54" s="11" t="s">
        <v>68</v>
      </c>
      <c r="M54" s="11" t="s">
        <v>60</v>
      </c>
      <c r="N54" s="11" t="s">
        <v>137</v>
      </c>
      <c r="O54" s="11" t="s">
        <v>70</v>
      </c>
      <c r="P54" s="11" t="s">
        <v>138</v>
      </c>
      <c r="Q54" s="11" t="s">
        <v>139</v>
      </c>
      <c r="R54" s="12" t="s">
        <v>140</v>
      </c>
      <c r="S54" s="12" t="s">
        <v>141</v>
      </c>
    </row>
    <row r="55" customFormat="false" ht="19.5" hidden="false" customHeight="true" outlineLevel="0" collapsed="false">
      <c r="A55" s="8"/>
      <c r="B55" s="8" t="s">
        <v>20</v>
      </c>
      <c r="C55" s="8" t="s">
        <v>106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customFormat="false" ht="19.5" hidden="false" customHeight="true" outlineLevel="0" collapsed="false">
      <c r="A56" s="8"/>
      <c r="B56" s="8" t="s">
        <v>20</v>
      </c>
      <c r="C56" s="8" t="s">
        <v>106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customFormat="false" ht="19.5" hidden="false" customHeight="true" outlineLevel="0" collapsed="false">
      <c r="A57" s="8"/>
      <c r="B57" s="8" t="s">
        <v>20</v>
      </c>
      <c r="C57" s="8" t="s">
        <v>106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customFormat="false" ht="19.5" hidden="false" customHeight="true" outlineLevel="0" collapsed="false">
      <c r="A58" s="8"/>
      <c r="B58" s="8" t="s">
        <v>20</v>
      </c>
      <c r="C58" s="8" t="s">
        <v>106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customFormat="false" ht="15" hidden="false" customHeight="false" outlineLevel="0" collapsed="false">
      <c r="A59" s="9" t="s">
        <v>23</v>
      </c>
      <c r="B59" s="10"/>
      <c r="C59" s="10"/>
      <c r="D59" s="10"/>
      <c r="E59" s="10"/>
      <c r="F59" s="10"/>
      <c r="G59" s="10"/>
      <c r="H59" s="10"/>
      <c r="I59" s="10"/>
      <c r="J59" s="9" t="str">
        <f aca="false">CONCATENATE("Погоджено: ",COUNTIF(O49:O58,"Погоджено"),"   ·   Межових: ",COUNTIF(O49:O58,"Межовий"),"   ·   Відкинуто: ",COUNTIF(O49:O58,"Відкинуто"))</f>
        <v>Погоджено: 3   ·   Межових: 0   ·   Відкинуто: 3</v>
      </c>
      <c r="K59" s="10"/>
      <c r="L59" s="10"/>
      <c r="M59" s="10"/>
      <c r="N59" s="10"/>
      <c r="O59" s="9" t="n">
        <f aca="false">COUNTIF(O49:O58,"Погоджено")</f>
        <v>3</v>
      </c>
      <c r="P59" s="10"/>
      <c r="Q59" s="10"/>
      <c r="R59" s="10"/>
      <c r="S59" s="10"/>
    </row>
    <row r="61" customFormat="false" ht="15" hidden="false" customHeight="false" outlineLevel="0" collapsed="false">
      <c r="A61" s="3" t="s">
        <v>142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45.75" hidden="false" customHeight="true" outlineLevel="0" collapsed="false">
      <c r="A62" s="5"/>
      <c r="B62" s="6" t="s">
        <v>20</v>
      </c>
      <c r="C62" s="6" t="s">
        <v>142</v>
      </c>
      <c r="D62" s="5"/>
      <c r="E62" s="5"/>
      <c r="F62" s="5"/>
      <c r="G62" s="5"/>
      <c r="H62" s="5"/>
      <c r="I62" s="5"/>
      <c r="J62" s="7" t="s">
        <v>143</v>
      </c>
      <c r="K62" s="5"/>
      <c r="L62" s="5"/>
      <c r="M62" s="5"/>
      <c r="N62" s="5"/>
      <c r="O62" s="6" t="s">
        <v>22</v>
      </c>
      <c r="P62" s="5"/>
      <c r="Q62" s="6" t="s">
        <v>53</v>
      </c>
      <c r="R62" s="12" t="s">
        <v>144</v>
      </c>
      <c r="S62" s="5"/>
    </row>
    <row r="63" customFormat="false" ht="19.5" hidden="false" customHeight="true" outlineLevel="0" collapsed="false">
      <c r="A63" s="8"/>
      <c r="B63" s="8" t="s">
        <v>20</v>
      </c>
      <c r="C63" s="8" t="s">
        <v>142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customFormat="false" ht="19.5" hidden="false" customHeight="true" outlineLevel="0" collapsed="false">
      <c r="A64" s="8"/>
      <c r="B64" s="8" t="s">
        <v>20</v>
      </c>
      <c r="C64" s="8" t="s">
        <v>142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customFormat="false" ht="19.5" hidden="false" customHeight="true" outlineLevel="0" collapsed="false">
      <c r="A65" s="8"/>
      <c r="B65" s="8" t="s">
        <v>20</v>
      </c>
      <c r="C65" s="8" t="s">
        <v>142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customFormat="false" ht="19.5" hidden="false" customHeight="true" outlineLevel="0" collapsed="false">
      <c r="A66" s="8"/>
      <c r="B66" s="8" t="s">
        <v>20</v>
      </c>
      <c r="C66" s="8" t="s">
        <v>142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customFormat="false" ht="15" hidden="false" customHeight="false" outlineLevel="0" collapsed="false">
      <c r="A67" s="9" t="s">
        <v>23</v>
      </c>
      <c r="B67" s="10"/>
      <c r="C67" s="10"/>
      <c r="D67" s="10"/>
      <c r="E67" s="10"/>
      <c r="F67" s="10"/>
      <c r="G67" s="10"/>
      <c r="H67" s="10"/>
      <c r="I67" s="10"/>
      <c r="J67" s="9" t="str">
        <f aca="false">CONCATENATE("Погоджено: ",COUNTIF(O62:O66,"Погоджено"),"   ·   Межових: ",COUNTIF(O62:O66,"Межовий"),"   ·   Відкинуто: ",COUNTIF(O62:O66,"Відкинуто"))</f>
        <v>Погоджено: 0   ·   Межових: 0   ·   Відкинуто: 0</v>
      </c>
      <c r="K67" s="10"/>
      <c r="L67" s="10"/>
      <c r="M67" s="10"/>
      <c r="N67" s="10"/>
      <c r="O67" s="9" t="n">
        <f aca="false">COUNTIF(O62:O66,"Погоджено")</f>
        <v>0</v>
      </c>
      <c r="P67" s="10"/>
      <c r="Q67" s="10"/>
      <c r="R67" s="10"/>
      <c r="S67" s="10"/>
    </row>
    <row r="69" customFormat="false" ht="15" hidden="false" customHeight="false" outlineLevel="0" collapsed="false">
      <c r="A69" s="3" t="s">
        <v>145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48" hidden="false" customHeight="true" outlineLevel="0" collapsed="false">
      <c r="A70" s="11" t="n">
        <v>16</v>
      </c>
      <c r="B70" s="11" t="s">
        <v>20</v>
      </c>
      <c r="C70" s="11" t="s">
        <v>145</v>
      </c>
      <c r="D70" s="11" t="s">
        <v>25</v>
      </c>
      <c r="E70" s="11" t="s">
        <v>26</v>
      </c>
      <c r="F70" s="11" t="s">
        <v>146</v>
      </c>
      <c r="G70" s="11" t="s">
        <v>147</v>
      </c>
      <c r="H70" s="11" t="s">
        <v>135</v>
      </c>
      <c r="I70" s="11" t="s">
        <v>41</v>
      </c>
      <c r="J70" s="11" t="s">
        <v>148</v>
      </c>
      <c r="K70" s="11"/>
      <c r="L70" s="11" t="s">
        <v>149</v>
      </c>
      <c r="M70" s="11" t="s">
        <v>150</v>
      </c>
      <c r="N70" s="11" t="s">
        <v>151</v>
      </c>
      <c r="O70" s="11" t="s">
        <v>34</v>
      </c>
      <c r="P70" s="11" t="s">
        <v>152</v>
      </c>
      <c r="Q70" s="11" t="s">
        <v>35</v>
      </c>
      <c r="R70" s="12" t="s">
        <v>153</v>
      </c>
      <c r="S70" s="12" t="s">
        <v>154</v>
      </c>
    </row>
    <row r="71" customFormat="false" ht="48" hidden="false" customHeight="true" outlineLevel="0" collapsed="false">
      <c r="A71" s="11" t="n">
        <v>17</v>
      </c>
      <c r="B71" s="11" t="s">
        <v>20</v>
      </c>
      <c r="C71" s="11" t="s">
        <v>145</v>
      </c>
      <c r="D71" s="11" t="s">
        <v>155</v>
      </c>
      <c r="E71" s="11" t="s">
        <v>38</v>
      </c>
      <c r="F71" s="11" t="s">
        <v>156</v>
      </c>
      <c r="G71" s="11" t="s">
        <v>147</v>
      </c>
      <c r="H71" s="11" t="s">
        <v>87</v>
      </c>
      <c r="I71" s="11" t="s">
        <v>41</v>
      </c>
      <c r="J71" s="11" t="s">
        <v>157</v>
      </c>
      <c r="K71" s="11" t="s">
        <v>98</v>
      </c>
      <c r="L71" s="11" t="s">
        <v>158</v>
      </c>
      <c r="M71" s="11" t="s">
        <v>33</v>
      </c>
      <c r="N71" s="11" t="s">
        <v>159</v>
      </c>
      <c r="O71" s="11" t="s">
        <v>34</v>
      </c>
      <c r="P71" s="11"/>
      <c r="Q71" s="11" t="s">
        <v>160</v>
      </c>
      <c r="R71" s="12" t="s">
        <v>154</v>
      </c>
      <c r="S71" s="12" t="s">
        <v>161</v>
      </c>
    </row>
    <row r="72" customFormat="false" ht="48" hidden="false" customHeight="true" outlineLevel="0" collapsed="false">
      <c r="A72" s="11" t="n">
        <v>18</v>
      </c>
      <c r="B72" s="11" t="s">
        <v>20</v>
      </c>
      <c r="C72" s="11" t="s">
        <v>145</v>
      </c>
      <c r="D72" s="11" t="s">
        <v>162</v>
      </c>
      <c r="E72" s="11" t="s">
        <v>38</v>
      </c>
      <c r="F72" s="11" t="s">
        <v>163</v>
      </c>
      <c r="G72" s="11" t="s">
        <v>147</v>
      </c>
      <c r="H72" s="11" t="s">
        <v>96</v>
      </c>
      <c r="I72" s="11" t="s">
        <v>41</v>
      </c>
      <c r="J72" s="11" t="s">
        <v>164</v>
      </c>
      <c r="K72" s="11" t="s">
        <v>98</v>
      </c>
      <c r="L72" s="11" t="s">
        <v>165</v>
      </c>
      <c r="M72" s="11" t="s">
        <v>150</v>
      </c>
      <c r="N72" s="11" t="s">
        <v>44</v>
      </c>
      <c r="O72" s="11" t="s">
        <v>34</v>
      </c>
      <c r="P72" s="11" t="s">
        <v>166</v>
      </c>
      <c r="Q72" s="11" t="s">
        <v>167</v>
      </c>
      <c r="R72" s="12" t="s">
        <v>168</v>
      </c>
      <c r="S72" s="11"/>
    </row>
    <row r="73" customFormat="false" ht="48" hidden="false" customHeight="true" outlineLevel="0" collapsed="false">
      <c r="A73" s="11" t="n">
        <v>19</v>
      </c>
      <c r="B73" s="11" t="s">
        <v>20</v>
      </c>
      <c r="C73" s="11" t="s">
        <v>145</v>
      </c>
      <c r="D73" s="11" t="s">
        <v>169</v>
      </c>
      <c r="E73" s="11" t="s">
        <v>38</v>
      </c>
      <c r="F73" s="11" t="s">
        <v>170</v>
      </c>
      <c r="G73" s="11" t="s">
        <v>147</v>
      </c>
      <c r="H73" s="11" t="s">
        <v>96</v>
      </c>
      <c r="I73" s="11" t="s">
        <v>41</v>
      </c>
      <c r="J73" s="11" t="s">
        <v>171</v>
      </c>
      <c r="K73" s="11" t="s">
        <v>98</v>
      </c>
      <c r="L73" s="11" t="s">
        <v>172</v>
      </c>
      <c r="M73" s="11" t="s">
        <v>150</v>
      </c>
      <c r="N73" s="11" t="s">
        <v>44</v>
      </c>
      <c r="O73" s="11" t="s">
        <v>34</v>
      </c>
      <c r="P73" s="11"/>
      <c r="Q73" s="11" t="s">
        <v>160</v>
      </c>
      <c r="R73" s="12" t="s">
        <v>154</v>
      </c>
      <c r="S73" s="12" t="s">
        <v>153</v>
      </c>
    </row>
    <row r="74" customFormat="false" ht="48" hidden="false" customHeight="true" outlineLevel="0" collapsed="false">
      <c r="A74" s="11" t="n">
        <v>20</v>
      </c>
      <c r="B74" s="11" t="s">
        <v>20</v>
      </c>
      <c r="C74" s="11" t="s">
        <v>145</v>
      </c>
      <c r="D74" s="11" t="s">
        <v>173</v>
      </c>
      <c r="E74" s="11" t="s">
        <v>38</v>
      </c>
      <c r="F74" s="11" t="s">
        <v>174</v>
      </c>
      <c r="G74" s="11" t="s">
        <v>147</v>
      </c>
      <c r="H74" s="11" t="s">
        <v>57</v>
      </c>
      <c r="I74" s="11" t="s">
        <v>41</v>
      </c>
      <c r="J74" s="11" t="s">
        <v>175</v>
      </c>
      <c r="K74" s="11" t="s">
        <v>98</v>
      </c>
      <c r="L74" s="11" t="s">
        <v>176</v>
      </c>
      <c r="M74" s="11" t="s">
        <v>150</v>
      </c>
      <c r="N74" s="11" t="s">
        <v>44</v>
      </c>
      <c r="O74" s="11" t="s">
        <v>34</v>
      </c>
      <c r="P74" s="11"/>
      <c r="Q74" s="11" t="s">
        <v>160</v>
      </c>
      <c r="R74" s="12" t="s">
        <v>154</v>
      </c>
      <c r="S74" s="11"/>
    </row>
    <row r="75" customFormat="false" ht="48" hidden="false" customHeight="true" outlineLevel="0" collapsed="false">
      <c r="A75" s="11" t="n">
        <v>21</v>
      </c>
      <c r="B75" s="11" t="s">
        <v>20</v>
      </c>
      <c r="C75" s="11" t="s">
        <v>145</v>
      </c>
      <c r="D75" s="11" t="s">
        <v>177</v>
      </c>
      <c r="E75" s="11" t="s">
        <v>38</v>
      </c>
      <c r="F75" s="11" t="s">
        <v>163</v>
      </c>
      <c r="G75" s="11" t="s">
        <v>147</v>
      </c>
      <c r="H75" s="11" t="s">
        <v>29</v>
      </c>
      <c r="I75" s="11" t="s">
        <v>30</v>
      </c>
      <c r="J75" s="11" t="s">
        <v>178</v>
      </c>
      <c r="K75" s="11"/>
      <c r="L75" s="11" t="s">
        <v>179</v>
      </c>
      <c r="M75" s="11" t="s">
        <v>150</v>
      </c>
      <c r="N75" s="11" t="s">
        <v>29</v>
      </c>
      <c r="O75" s="11" t="s">
        <v>34</v>
      </c>
      <c r="P75" s="11"/>
      <c r="Q75" s="11" t="s">
        <v>160</v>
      </c>
      <c r="R75" s="12" t="s">
        <v>154</v>
      </c>
      <c r="S75" s="11"/>
    </row>
    <row r="76" customFormat="false" ht="48" hidden="false" customHeight="true" outlineLevel="0" collapsed="false">
      <c r="A76" s="11" t="n">
        <v>22</v>
      </c>
      <c r="B76" s="11" t="s">
        <v>20</v>
      </c>
      <c r="C76" s="11" t="s">
        <v>145</v>
      </c>
      <c r="D76" s="11" t="s">
        <v>177</v>
      </c>
      <c r="E76" s="11" t="s">
        <v>26</v>
      </c>
      <c r="F76" s="11" t="s">
        <v>163</v>
      </c>
      <c r="G76" s="11" t="s">
        <v>28</v>
      </c>
      <c r="H76" s="11" t="s">
        <v>29</v>
      </c>
      <c r="I76" s="11" t="s">
        <v>30</v>
      </c>
      <c r="J76" s="11" t="s">
        <v>180</v>
      </c>
      <c r="K76" s="11"/>
      <c r="L76" s="11" t="s">
        <v>179</v>
      </c>
      <c r="M76" s="11" t="s">
        <v>33</v>
      </c>
      <c r="N76" s="11" t="s">
        <v>181</v>
      </c>
      <c r="O76" s="11" t="s">
        <v>34</v>
      </c>
      <c r="P76" s="11"/>
      <c r="Q76" s="11" t="s">
        <v>35</v>
      </c>
      <c r="R76" s="12" t="s">
        <v>36</v>
      </c>
      <c r="S76" s="12" t="s">
        <v>182</v>
      </c>
    </row>
    <row r="77" customFormat="false" ht="48" hidden="false" customHeight="true" outlineLevel="0" collapsed="false">
      <c r="A77" s="11" t="n">
        <v>23</v>
      </c>
      <c r="B77" s="11" t="s">
        <v>20</v>
      </c>
      <c r="C77" s="11" t="s">
        <v>145</v>
      </c>
      <c r="D77" s="11" t="s">
        <v>183</v>
      </c>
      <c r="E77" s="11" t="s">
        <v>38</v>
      </c>
      <c r="F77" s="11" t="s">
        <v>163</v>
      </c>
      <c r="G77" s="11" t="s">
        <v>28</v>
      </c>
      <c r="H77" s="11" t="s">
        <v>87</v>
      </c>
      <c r="I77" s="11" t="s">
        <v>41</v>
      </c>
      <c r="J77" s="11" t="s">
        <v>184</v>
      </c>
      <c r="K77" s="11" t="s">
        <v>98</v>
      </c>
      <c r="L77" s="11" t="s">
        <v>185</v>
      </c>
      <c r="M77" s="11" t="s">
        <v>33</v>
      </c>
      <c r="N77" s="11" t="s">
        <v>186</v>
      </c>
      <c r="O77" s="11" t="s">
        <v>34</v>
      </c>
      <c r="P77" s="11"/>
      <c r="Q77" s="11" t="s">
        <v>35</v>
      </c>
      <c r="R77" s="12" t="s">
        <v>187</v>
      </c>
      <c r="S77" s="11"/>
    </row>
    <row r="78" customFormat="false" ht="48" hidden="false" customHeight="true" outlineLevel="0" collapsed="false">
      <c r="A78" s="11" t="n">
        <v>24</v>
      </c>
      <c r="B78" s="11" t="s">
        <v>20</v>
      </c>
      <c r="C78" s="11" t="s">
        <v>145</v>
      </c>
      <c r="D78" s="11" t="s">
        <v>188</v>
      </c>
      <c r="E78" s="11" t="s">
        <v>189</v>
      </c>
      <c r="F78" s="11" t="s">
        <v>145</v>
      </c>
      <c r="G78" s="11" t="s">
        <v>147</v>
      </c>
      <c r="H78" s="11" t="s">
        <v>190</v>
      </c>
      <c r="I78" s="11" t="s">
        <v>41</v>
      </c>
      <c r="J78" s="11" t="s">
        <v>191</v>
      </c>
      <c r="K78" s="11"/>
      <c r="L78" s="11" t="s">
        <v>192</v>
      </c>
      <c r="M78" s="11" t="s">
        <v>150</v>
      </c>
      <c r="N78" s="11" t="s">
        <v>44</v>
      </c>
      <c r="O78" s="11" t="s">
        <v>34</v>
      </c>
      <c r="P78" s="11"/>
      <c r="Q78" s="11" t="s">
        <v>35</v>
      </c>
      <c r="R78" s="12" t="s">
        <v>193</v>
      </c>
      <c r="S78" s="12" t="s">
        <v>194</v>
      </c>
    </row>
    <row r="79" customFormat="false" ht="48" hidden="false" customHeight="true" outlineLevel="0" collapsed="false">
      <c r="A79" s="11" t="n">
        <v>25</v>
      </c>
      <c r="B79" s="11" t="s">
        <v>20</v>
      </c>
      <c r="C79" s="11" t="s">
        <v>145</v>
      </c>
      <c r="D79" s="11" t="s">
        <v>195</v>
      </c>
      <c r="E79" s="11" t="s">
        <v>38</v>
      </c>
      <c r="F79" s="11" t="s">
        <v>196</v>
      </c>
      <c r="G79" s="11" t="s">
        <v>65</v>
      </c>
      <c r="H79" s="11" t="s">
        <v>96</v>
      </c>
      <c r="I79" s="11" t="s">
        <v>41</v>
      </c>
      <c r="J79" s="11" t="s">
        <v>197</v>
      </c>
      <c r="K79" s="11" t="s">
        <v>98</v>
      </c>
      <c r="L79" s="11" t="s">
        <v>198</v>
      </c>
      <c r="M79" s="11" t="s">
        <v>33</v>
      </c>
      <c r="N79" s="11" t="s">
        <v>199</v>
      </c>
      <c r="O79" s="11" t="s">
        <v>34</v>
      </c>
      <c r="P79" s="11" t="s">
        <v>200</v>
      </c>
      <c r="Q79" s="11" t="s">
        <v>131</v>
      </c>
      <c r="R79" s="12" t="s">
        <v>201</v>
      </c>
      <c r="S79" s="11"/>
    </row>
    <row r="80" customFormat="false" ht="48" hidden="false" customHeight="true" outlineLevel="0" collapsed="false">
      <c r="A80" s="11" t="n">
        <v>26</v>
      </c>
      <c r="B80" s="11" t="s">
        <v>20</v>
      </c>
      <c r="C80" s="11" t="s">
        <v>145</v>
      </c>
      <c r="D80" s="11" t="s">
        <v>202</v>
      </c>
      <c r="E80" s="11" t="s">
        <v>38</v>
      </c>
      <c r="F80" s="11" t="s">
        <v>163</v>
      </c>
      <c r="G80" s="11" t="s">
        <v>65</v>
      </c>
      <c r="H80" s="11" t="s">
        <v>116</v>
      </c>
      <c r="I80" s="11" t="s">
        <v>41</v>
      </c>
      <c r="J80" s="11" t="s">
        <v>203</v>
      </c>
      <c r="K80" s="11" t="s">
        <v>204</v>
      </c>
      <c r="L80" s="11" t="s">
        <v>198</v>
      </c>
      <c r="M80" s="11" t="s">
        <v>33</v>
      </c>
      <c r="N80" s="11" t="s">
        <v>44</v>
      </c>
      <c r="O80" s="11" t="s">
        <v>34</v>
      </c>
      <c r="P80" s="11" t="s">
        <v>205</v>
      </c>
      <c r="Q80" s="11" t="s">
        <v>206</v>
      </c>
      <c r="R80" s="12" t="s">
        <v>207</v>
      </c>
      <c r="S80" s="12" t="s">
        <v>208</v>
      </c>
    </row>
    <row r="81" customFormat="false" ht="19.5" hidden="false" customHeight="true" outlineLevel="0" collapsed="false">
      <c r="A81" s="8"/>
      <c r="B81" s="8" t="s">
        <v>20</v>
      </c>
      <c r="C81" s="8" t="s">
        <v>145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customFormat="false" ht="19.5" hidden="false" customHeight="true" outlineLevel="0" collapsed="false">
      <c r="A82" s="8"/>
      <c r="B82" s="8" t="s">
        <v>20</v>
      </c>
      <c r="C82" s="8" t="s">
        <v>145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customFormat="false" ht="19.5" hidden="false" customHeight="true" outlineLevel="0" collapsed="false">
      <c r="A83" s="8"/>
      <c r="B83" s="8" t="s">
        <v>20</v>
      </c>
      <c r="C83" s="8" t="s">
        <v>145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customFormat="false" ht="19.5" hidden="false" customHeight="true" outlineLevel="0" collapsed="false">
      <c r="A84" s="8"/>
      <c r="B84" s="8" t="s">
        <v>20</v>
      </c>
      <c r="C84" s="8" t="s">
        <v>145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customFormat="false" ht="15" hidden="false" customHeight="false" outlineLevel="0" collapsed="false">
      <c r="A85" s="9" t="s">
        <v>23</v>
      </c>
      <c r="B85" s="10"/>
      <c r="C85" s="10"/>
      <c r="D85" s="10"/>
      <c r="E85" s="10"/>
      <c r="F85" s="10"/>
      <c r="G85" s="10"/>
      <c r="H85" s="10"/>
      <c r="I85" s="10"/>
      <c r="J85" s="9" t="str">
        <f aca="false">CONCATENATE("Погоджено: ",COUNTIF(O70:O84,"Погоджено"),"   ·   Межових: ",COUNTIF(O70:O84,"Межовий"),"   ·   Відкинуто: ",COUNTIF(O70:O84,"Відкинуто"))</f>
        <v>Погоджено: 11   ·   Межових: 0   ·   Відкинуто: 0</v>
      </c>
      <c r="K85" s="10"/>
      <c r="L85" s="10"/>
      <c r="M85" s="10"/>
      <c r="N85" s="10"/>
      <c r="O85" s="9" t="n">
        <f aca="false">COUNTIF(O70:O84,"Погоджено")</f>
        <v>11</v>
      </c>
      <c r="P85" s="10"/>
      <c r="Q85" s="10"/>
      <c r="R85" s="10"/>
      <c r="S85" s="10"/>
    </row>
    <row r="87" customFormat="false" ht="15" hidden="false" customHeight="false" outlineLevel="0" collapsed="false">
      <c r="A87" s="3" t="s">
        <v>209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48" hidden="false" customHeight="true" outlineLevel="0" collapsed="false">
      <c r="A88" s="11" t="n">
        <v>27</v>
      </c>
      <c r="B88" s="11" t="s">
        <v>20</v>
      </c>
      <c r="C88" s="11" t="s">
        <v>209</v>
      </c>
      <c r="D88" s="11" t="s">
        <v>210</v>
      </c>
      <c r="E88" s="11" t="s">
        <v>38</v>
      </c>
      <c r="F88" s="11" t="s">
        <v>211</v>
      </c>
      <c r="G88" s="11" t="s">
        <v>212</v>
      </c>
      <c r="H88" s="11" t="s">
        <v>66</v>
      </c>
      <c r="I88" s="11" t="s">
        <v>41</v>
      </c>
      <c r="J88" s="11" t="s">
        <v>213</v>
      </c>
      <c r="K88" s="11"/>
      <c r="L88" s="11" t="s">
        <v>68</v>
      </c>
      <c r="M88" s="11" t="s">
        <v>69</v>
      </c>
      <c r="N88" s="11" t="s">
        <v>44</v>
      </c>
      <c r="O88" s="11" t="s">
        <v>70</v>
      </c>
      <c r="P88" s="11" t="s">
        <v>214</v>
      </c>
      <c r="Q88" s="11" t="s">
        <v>53</v>
      </c>
      <c r="R88" s="12" t="s">
        <v>215</v>
      </c>
      <c r="S88" s="11"/>
    </row>
    <row r="89" customFormat="false" ht="48" hidden="false" customHeight="true" outlineLevel="0" collapsed="false">
      <c r="A89" s="11" t="n">
        <v>28</v>
      </c>
      <c r="B89" s="11" t="s">
        <v>20</v>
      </c>
      <c r="C89" s="11" t="s">
        <v>209</v>
      </c>
      <c r="D89" s="11" t="s">
        <v>216</v>
      </c>
      <c r="E89" s="11" t="s">
        <v>38</v>
      </c>
      <c r="F89" s="11" t="s">
        <v>217</v>
      </c>
      <c r="G89" s="11" t="s">
        <v>95</v>
      </c>
      <c r="H89" s="11" t="s">
        <v>96</v>
      </c>
      <c r="I89" s="11" t="s">
        <v>41</v>
      </c>
      <c r="J89" s="11" t="s">
        <v>218</v>
      </c>
      <c r="K89" s="11"/>
      <c r="L89" s="11" t="s">
        <v>219</v>
      </c>
      <c r="M89" s="11" t="s">
        <v>33</v>
      </c>
      <c r="N89" s="11" t="s">
        <v>44</v>
      </c>
      <c r="O89" s="11" t="s">
        <v>70</v>
      </c>
      <c r="P89" s="11" t="s">
        <v>220</v>
      </c>
      <c r="Q89" s="11" t="s">
        <v>167</v>
      </c>
      <c r="R89" s="12" t="s">
        <v>221</v>
      </c>
      <c r="S89" s="11"/>
    </row>
    <row r="90" customFormat="false" ht="19.5" hidden="false" customHeight="true" outlineLevel="0" collapsed="false">
      <c r="A90" s="8"/>
      <c r="B90" s="8" t="s">
        <v>20</v>
      </c>
      <c r="C90" s="8" t="s">
        <v>209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customFormat="false" ht="19.5" hidden="false" customHeight="true" outlineLevel="0" collapsed="false">
      <c r="A91" s="8"/>
      <c r="B91" s="8" t="s">
        <v>20</v>
      </c>
      <c r="C91" s="8" t="s">
        <v>209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customFormat="false" ht="19.5" hidden="false" customHeight="true" outlineLevel="0" collapsed="false">
      <c r="A92" s="8"/>
      <c r="B92" s="8" t="s">
        <v>20</v>
      </c>
      <c r="C92" s="8" t="s">
        <v>209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customFormat="false" ht="19.5" hidden="false" customHeight="true" outlineLevel="0" collapsed="false">
      <c r="A93" s="8"/>
      <c r="B93" s="8" t="s">
        <v>20</v>
      </c>
      <c r="C93" s="8" t="s">
        <v>209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customFormat="false" ht="15" hidden="false" customHeight="false" outlineLevel="0" collapsed="false">
      <c r="A94" s="9" t="s">
        <v>23</v>
      </c>
      <c r="B94" s="10"/>
      <c r="C94" s="10"/>
      <c r="D94" s="10"/>
      <c r="E94" s="10"/>
      <c r="F94" s="10"/>
      <c r="G94" s="10"/>
      <c r="H94" s="10"/>
      <c r="I94" s="10"/>
      <c r="J94" s="9" t="str">
        <f aca="false">CONCATENATE("Погоджено: ",COUNTIF(O88:O93,"Погоджено"),"   ·   Межових: ",COUNTIF(O88:O93,"Межовий"),"   ·   Відкинуто: ",COUNTIF(O88:O93,"Відкинуто"))</f>
        <v>Погоджено: 0   ·   Межових: 0   ·   Відкинуто: 2</v>
      </c>
      <c r="K94" s="10"/>
      <c r="L94" s="10"/>
      <c r="M94" s="10"/>
      <c r="N94" s="10"/>
      <c r="O94" s="9" t="n">
        <f aca="false">COUNTIF(O88:O93,"Погоджено")</f>
        <v>0</v>
      </c>
      <c r="P94" s="10"/>
      <c r="Q94" s="10"/>
      <c r="R94" s="10"/>
      <c r="S94" s="10"/>
    </row>
    <row r="96" customFormat="false" ht="15" hidden="false" customHeight="false" outlineLevel="0" collapsed="false">
      <c r="A96" s="3" t="s">
        <v>222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false" ht="48" hidden="false" customHeight="true" outlineLevel="0" collapsed="false">
      <c r="A97" s="11" t="n">
        <v>29</v>
      </c>
      <c r="B97" s="11" t="s">
        <v>20</v>
      </c>
      <c r="C97" s="11" t="s">
        <v>222</v>
      </c>
      <c r="D97" s="11" t="s">
        <v>223</v>
      </c>
      <c r="E97" s="11" t="s">
        <v>38</v>
      </c>
      <c r="F97" s="11" t="s">
        <v>224</v>
      </c>
      <c r="G97" s="11" t="s">
        <v>28</v>
      </c>
      <c r="H97" s="11" t="s">
        <v>29</v>
      </c>
      <c r="I97" s="11" t="s">
        <v>30</v>
      </c>
      <c r="J97" s="11" t="s">
        <v>225</v>
      </c>
      <c r="K97" s="11"/>
      <c r="L97" s="11" t="s">
        <v>185</v>
      </c>
      <c r="M97" s="11" t="s">
        <v>33</v>
      </c>
      <c r="N97" s="11" t="s">
        <v>29</v>
      </c>
      <c r="O97" s="11" t="s">
        <v>34</v>
      </c>
      <c r="P97" s="11"/>
      <c r="Q97" s="11" t="s">
        <v>53</v>
      </c>
      <c r="R97" s="12" t="s">
        <v>226</v>
      </c>
      <c r="S97" s="11"/>
    </row>
    <row r="98" customFormat="false" ht="19.5" hidden="false" customHeight="true" outlineLevel="0" collapsed="false">
      <c r="A98" s="8"/>
      <c r="B98" s="8" t="s">
        <v>20</v>
      </c>
      <c r="C98" s="8" t="s">
        <v>222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customFormat="false" ht="19.5" hidden="false" customHeight="true" outlineLevel="0" collapsed="false">
      <c r="A99" s="8"/>
      <c r="B99" s="8" t="s">
        <v>20</v>
      </c>
      <c r="C99" s="8" t="s">
        <v>222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customFormat="false" ht="19.5" hidden="false" customHeight="true" outlineLevel="0" collapsed="false">
      <c r="A100" s="8"/>
      <c r="B100" s="8" t="s">
        <v>20</v>
      </c>
      <c r="C100" s="8" t="s">
        <v>222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customFormat="false" ht="19.5" hidden="false" customHeight="true" outlineLevel="0" collapsed="false">
      <c r="A101" s="8"/>
      <c r="B101" s="8" t="s">
        <v>20</v>
      </c>
      <c r="C101" s="8" t="s">
        <v>222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customFormat="false" ht="15" hidden="false" customHeight="false" outlineLevel="0" collapsed="false">
      <c r="A102" s="9" t="s">
        <v>23</v>
      </c>
      <c r="B102" s="10"/>
      <c r="C102" s="10"/>
      <c r="D102" s="10"/>
      <c r="E102" s="10"/>
      <c r="F102" s="10"/>
      <c r="G102" s="10"/>
      <c r="H102" s="10"/>
      <c r="I102" s="10"/>
      <c r="J102" s="9" t="str">
        <f aca="false">CONCATENATE("Погоджено: ",COUNTIF(O97:O101,"Погоджено"),"   ·   Межових: ",COUNTIF(O97:O101,"Межовий"),"   ·   Відкинуто: ",COUNTIF(O97:O101,"Відкинуто"))</f>
        <v>Погоджено: 1   ·   Межових: 0   ·   Відкинуто: 0</v>
      </c>
      <c r="K102" s="10"/>
      <c r="L102" s="10"/>
      <c r="M102" s="10"/>
      <c r="N102" s="10"/>
      <c r="O102" s="9" t="n">
        <f aca="false">COUNTIF(O97:O101,"Погоджено")</f>
        <v>1</v>
      </c>
      <c r="P102" s="10"/>
      <c r="Q102" s="10"/>
      <c r="R102" s="10"/>
      <c r="S102" s="10"/>
    </row>
    <row r="104" customFormat="false" ht="15" hidden="false" customHeight="false" outlineLevel="0" collapsed="false">
      <c r="A104" s="3" t="s">
        <v>227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Format="false" ht="48" hidden="false" customHeight="true" outlineLevel="0" collapsed="false">
      <c r="A105" s="11" t="n">
        <v>30</v>
      </c>
      <c r="B105" s="11" t="s">
        <v>228</v>
      </c>
      <c r="C105" s="11" t="s">
        <v>227</v>
      </c>
      <c r="D105" s="11" t="s">
        <v>229</v>
      </c>
      <c r="E105" s="11" t="s">
        <v>38</v>
      </c>
      <c r="F105" s="11" t="s">
        <v>230</v>
      </c>
      <c r="G105" s="11" t="s">
        <v>28</v>
      </c>
      <c r="H105" s="11" t="s">
        <v>29</v>
      </c>
      <c r="I105" s="11" t="s">
        <v>231</v>
      </c>
      <c r="J105" s="11" t="s">
        <v>232</v>
      </c>
      <c r="K105" s="11"/>
      <c r="L105" s="11" t="s">
        <v>32</v>
      </c>
      <c r="M105" s="11" t="s">
        <v>33</v>
      </c>
      <c r="N105" s="11" t="s">
        <v>76</v>
      </c>
      <c r="O105" s="11" t="s">
        <v>34</v>
      </c>
      <c r="P105" s="11" t="s">
        <v>233</v>
      </c>
      <c r="Q105" s="11" t="s">
        <v>35</v>
      </c>
      <c r="R105" s="12" t="s">
        <v>234</v>
      </c>
      <c r="S105" s="11"/>
    </row>
    <row r="106" customFormat="false" ht="48" hidden="false" customHeight="true" outlineLevel="0" collapsed="false">
      <c r="A106" s="11" t="n">
        <v>31</v>
      </c>
      <c r="B106" s="11" t="s">
        <v>228</v>
      </c>
      <c r="C106" s="11" t="s">
        <v>227</v>
      </c>
      <c r="D106" s="11" t="s">
        <v>235</v>
      </c>
      <c r="E106" s="11" t="s">
        <v>38</v>
      </c>
      <c r="F106" s="11" t="s">
        <v>230</v>
      </c>
      <c r="G106" s="11" t="s">
        <v>65</v>
      </c>
      <c r="H106" s="11" t="s">
        <v>40</v>
      </c>
      <c r="I106" s="11" t="s">
        <v>41</v>
      </c>
      <c r="J106" s="11" t="s">
        <v>236</v>
      </c>
      <c r="K106" s="11"/>
      <c r="L106" s="11" t="s">
        <v>32</v>
      </c>
      <c r="M106" s="11" t="s">
        <v>60</v>
      </c>
      <c r="N106" s="11" t="s">
        <v>44</v>
      </c>
      <c r="O106" s="11" t="s">
        <v>70</v>
      </c>
      <c r="P106" s="11" t="s">
        <v>237</v>
      </c>
      <c r="Q106" s="11" t="s">
        <v>238</v>
      </c>
      <c r="R106" s="11"/>
      <c r="S106" s="11"/>
    </row>
    <row r="107" customFormat="false" ht="48" hidden="false" customHeight="true" outlineLevel="0" collapsed="false">
      <c r="A107" s="11" t="n">
        <v>32</v>
      </c>
      <c r="B107" s="11" t="s">
        <v>228</v>
      </c>
      <c r="C107" s="11" t="s">
        <v>227</v>
      </c>
      <c r="D107" s="11" t="s">
        <v>239</v>
      </c>
      <c r="E107" s="11" t="s">
        <v>38</v>
      </c>
      <c r="F107" s="11" t="s">
        <v>230</v>
      </c>
      <c r="G107" s="11" t="s">
        <v>65</v>
      </c>
      <c r="H107" s="11" t="s">
        <v>116</v>
      </c>
      <c r="I107" s="11" t="s">
        <v>41</v>
      </c>
      <c r="J107" s="11" t="s">
        <v>240</v>
      </c>
      <c r="K107" s="11"/>
      <c r="L107" s="11" t="s">
        <v>32</v>
      </c>
      <c r="M107" s="11" t="s">
        <v>33</v>
      </c>
      <c r="N107" s="11" t="s">
        <v>44</v>
      </c>
      <c r="O107" s="11" t="s">
        <v>34</v>
      </c>
      <c r="P107" s="11" t="s">
        <v>241</v>
      </c>
      <c r="Q107" s="11" t="s">
        <v>206</v>
      </c>
      <c r="R107" s="12" t="s">
        <v>242</v>
      </c>
      <c r="S107" s="11"/>
    </row>
    <row r="108" customFormat="false" ht="48" hidden="false" customHeight="true" outlineLevel="0" collapsed="false">
      <c r="A108" s="11" t="n">
        <v>33</v>
      </c>
      <c r="B108" s="11" t="s">
        <v>228</v>
      </c>
      <c r="C108" s="11" t="s">
        <v>227</v>
      </c>
      <c r="D108" s="11" t="s">
        <v>243</v>
      </c>
      <c r="E108" s="11" t="s">
        <v>38</v>
      </c>
      <c r="F108" s="11" t="s">
        <v>230</v>
      </c>
      <c r="G108" s="11" t="s">
        <v>65</v>
      </c>
      <c r="H108" s="11" t="s">
        <v>96</v>
      </c>
      <c r="I108" s="11" t="s">
        <v>41</v>
      </c>
      <c r="J108" s="11" t="s">
        <v>244</v>
      </c>
      <c r="K108" s="11" t="s">
        <v>98</v>
      </c>
      <c r="L108" s="11" t="s">
        <v>32</v>
      </c>
      <c r="M108" s="11" t="s">
        <v>150</v>
      </c>
      <c r="N108" s="11" t="s">
        <v>44</v>
      </c>
      <c r="O108" s="11" t="s">
        <v>34</v>
      </c>
      <c r="P108" s="11" t="s">
        <v>245</v>
      </c>
      <c r="Q108" s="11" t="s">
        <v>206</v>
      </c>
      <c r="R108" s="12" t="s">
        <v>246</v>
      </c>
      <c r="S108" s="11"/>
    </row>
    <row r="109" customFormat="false" ht="19.5" hidden="false" customHeight="true" outlineLevel="0" collapsed="false">
      <c r="A109" s="8"/>
      <c r="B109" s="8" t="s">
        <v>228</v>
      </c>
      <c r="C109" s="8" t="s">
        <v>227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customFormat="false" ht="19.5" hidden="false" customHeight="true" outlineLevel="0" collapsed="false">
      <c r="A110" s="8"/>
      <c r="B110" s="8" t="s">
        <v>228</v>
      </c>
      <c r="C110" s="8" t="s">
        <v>227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customFormat="false" ht="19.5" hidden="false" customHeight="true" outlineLevel="0" collapsed="false">
      <c r="A111" s="8"/>
      <c r="B111" s="8" t="s">
        <v>228</v>
      </c>
      <c r="C111" s="8" t="s">
        <v>227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customFormat="false" ht="19.5" hidden="false" customHeight="true" outlineLevel="0" collapsed="false">
      <c r="A112" s="8"/>
      <c r="B112" s="8" t="s">
        <v>228</v>
      </c>
      <c r="C112" s="8" t="s">
        <v>227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customFormat="false" ht="15" hidden="false" customHeight="false" outlineLevel="0" collapsed="false">
      <c r="A113" s="9" t="s">
        <v>23</v>
      </c>
      <c r="B113" s="10"/>
      <c r="C113" s="10"/>
      <c r="D113" s="10"/>
      <c r="E113" s="10"/>
      <c r="F113" s="10"/>
      <c r="G113" s="10"/>
      <c r="H113" s="10"/>
      <c r="I113" s="10"/>
      <c r="J113" s="9" t="str">
        <f aca="false">CONCATENATE("Погоджено: ",COUNTIF(O105:O112,"Погоджено"),"   ·   Межових: ",COUNTIF(O105:O112,"Межовий"),"   ·   Відкинуто: ",COUNTIF(O105:O112,"Відкинуто"))</f>
        <v>Погоджено: 3   ·   Межових: 0   ·   Відкинуто: 1</v>
      </c>
      <c r="K113" s="10"/>
      <c r="L113" s="10"/>
      <c r="M113" s="10"/>
      <c r="N113" s="10"/>
      <c r="O113" s="9" t="n">
        <f aca="false">COUNTIF(O105:O112,"Погоджено")</f>
        <v>3</v>
      </c>
      <c r="P113" s="10"/>
      <c r="Q113" s="10"/>
      <c r="R113" s="10"/>
      <c r="S113" s="10"/>
    </row>
    <row r="115" customFormat="false" ht="15" hidden="false" customHeight="false" outlineLevel="0" collapsed="false">
      <c r="A115" s="3" t="s">
        <v>247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Format="false" ht="48" hidden="false" customHeight="true" outlineLevel="0" collapsed="false">
      <c r="A116" s="11" t="n">
        <v>34</v>
      </c>
      <c r="B116" s="11" t="s">
        <v>228</v>
      </c>
      <c r="C116" s="11" t="s">
        <v>247</v>
      </c>
      <c r="D116" s="11" t="s">
        <v>248</v>
      </c>
      <c r="E116" s="11" t="s">
        <v>38</v>
      </c>
      <c r="F116" s="11" t="s">
        <v>249</v>
      </c>
      <c r="G116" s="11" t="s">
        <v>28</v>
      </c>
      <c r="H116" s="11" t="s">
        <v>29</v>
      </c>
      <c r="I116" s="11" t="s">
        <v>30</v>
      </c>
      <c r="J116" s="11" t="s">
        <v>250</v>
      </c>
      <c r="K116" s="11" t="s">
        <v>251</v>
      </c>
      <c r="L116" s="11" t="s">
        <v>99</v>
      </c>
      <c r="M116" s="11" t="s">
        <v>33</v>
      </c>
      <c r="N116" s="11" t="s">
        <v>252</v>
      </c>
      <c r="O116" s="11" t="s">
        <v>34</v>
      </c>
      <c r="P116" s="11"/>
      <c r="Q116" s="11" t="s">
        <v>53</v>
      </c>
      <c r="R116" s="12" t="s">
        <v>253</v>
      </c>
      <c r="S116" s="11"/>
    </row>
    <row r="117" customFormat="false" ht="48" hidden="false" customHeight="true" outlineLevel="0" collapsed="false">
      <c r="A117" s="11" t="n">
        <v>35</v>
      </c>
      <c r="B117" s="11" t="s">
        <v>228</v>
      </c>
      <c r="C117" s="11" t="s">
        <v>247</v>
      </c>
      <c r="D117" s="11" t="s">
        <v>254</v>
      </c>
      <c r="E117" s="11" t="s">
        <v>38</v>
      </c>
      <c r="F117" s="11" t="s">
        <v>249</v>
      </c>
      <c r="G117" s="11" t="s">
        <v>65</v>
      </c>
      <c r="H117" s="11" t="s">
        <v>29</v>
      </c>
      <c r="I117" s="11" t="s">
        <v>30</v>
      </c>
      <c r="J117" s="11" t="s">
        <v>255</v>
      </c>
      <c r="K117" s="11"/>
      <c r="L117" s="11" t="s">
        <v>32</v>
      </c>
      <c r="M117" s="11" t="s">
        <v>150</v>
      </c>
      <c r="N117" s="11" t="s">
        <v>256</v>
      </c>
      <c r="O117" s="11" t="s">
        <v>34</v>
      </c>
      <c r="P117" s="11"/>
      <c r="Q117" s="11" t="s">
        <v>35</v>
      </c>
      <c r="R117" s="12" t="s">
        <v>257</v>
      </c>
      <c r="S117" s="11"/>
    </row>
    <row r="118" customFormat="false" ht="19.5" hidden="false" customHeight="true" outlineLevel="0" collapsed="false">
      <c r="A118" s="8"/>
      <c r="B118" s="8" t="s">
        <v>228</v>
      </c>
      <c r="C118" s="8" t="s">
        <v>247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customFormat="false" ht="19.5" hidden="false" customHeight="true" outlineLevel="0" collapsed="false">
      <c r="A119" s="8"/>
      <c r="B119" s="8" t="s">
        <v>228</v>
      </c>
      <c r="C119" s="8" t="s">
        <v>247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customFormat="false" ht="19.5" hidden="false" customHeight="true" outlineLevel="0" collapsed="false">
      <c r="A120" s="8"/>
      <c r="B120" s="8" t="s">
        <v>228</v>
      </c>
      <c r="C120" s="8" t="s">
        <v>247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customFormat="false" ht="19.5" hidden="false" customHeight="true" outlineLevel="0" collapsed="false">
      <c r="A121" s="8"/>
      <c r="B121" s="8" t="s">
        <v>228</v>
      </c>
      <c r="C121" s="8" t="s">
        <v>247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customFormat="false" ht="15" hidden="false" customHeight="false" outlineLevel="0" collapsed="false">
      <c r="A122" s="9" t="s">
        <v>23</v>
      </c>
      <c r="B122" s="10"/>
      <c r="C122" s="10"/>
      <c r="D122" s="10"/>
      <c r="E122" s="10"/>
      <c r="F122" s="10"/>
      <c r="G122" s="10"/>
      <c r="H122" s="10"/>
      <c r="I122" s="10"/>
      <c r="J122" s="9" t="str">
        <f aca="false">CONCATENATE("Погоджено: ",COUNTIF(O116:O121,"Погоджено"),"   ·   Межових: ",COUNTIF(O116:O121,"Межовий"),"   ·   Відкинуто: ",COUNTIF(O116:O121,"Відкинуто"))</f>
        <v>Погоджено: 2   ·   Межових: 0   ·   Відкинуто: 0</v>
      </c>
      <c r="K122" s="10"/>
      <c r="L122" s="10"/>
      <c r="M122" s="10"/>
      <c r="N122" s="10"/>
      <c r="O122" s="9" t="n">
        <f aca="false">COUNTIF(O116:O121,"Погоджено")</f>
        <v>2</v>
      </c>
      <c r="P122" s="10"/>
      <c r="Q122" s="10"/>
      <c r="R122" s="10"/>
      <c r="S122" s="10"/>
    </row>
    <row r="124" customFormat="false" ht="15" hidden="false" customHeight="false" outlineLevel="0" collapsed="false">
      <c r="A124" s="3" t="s">
        <v>258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Format="false" ht="48" hidden="false" customHeight="true" outlineLevel="0" collapsed="false">
      <c r="A125" s="11" t="n">
        <v>36</v>
      </c>
      <c r="B125" s="11" t="s">
        <v>228</v>
      </c>
      <c r="C125" s="11" t="s">
        <v>258</v>
      </c>
      <c r="D125" s="11" t="s">
        <v>259</v>
      </c>
      <c r="E125" s="11" t="s">
        <v>38</v>
      </c>
      <c r="F125" s="11" t="s">
        <v>260</v>
      </c>
      <c r="G125" s="11" t="s">
        <v>65</v>
      </c>
      <c r="H125" s="11" t="s">
        <v>40</v>
      </c>
      <c r="I125" s="11" t="s">
        <v>41</v>
      </c>
      <c r="J125" s="11" t="s">
        <v>261</v>
      </c>
      <c r="K125" s="11"/>
      <c r="L125" s="11" t="s">
        <v>262</v>
      </c>
      <c r="M125" s="11" t="s">
        <v>150</v>
      </c>
      <c r="N125" s="11" t="s">
        <v>44</v>
      </c>
      <c r="O125" s="11" t="s">
        <v>34</v>
      </c>
      <c r="P125" s="11" t="s">
        <v>263</v>
      </c>
      <c r="Q125" s="11" t="s">
        <v>53</v>
      </c>
      <c r="R125" s="12" t="s">
        <v>264</v>
      </c>
      <c r="S125" s="11"/>
    </row>
    <row r="126" customFormat="false" ht="19.5" hidden="false" customHeight="true" outlineLevel="0" collapsed="false">
      <c r="A126" s="8"/>
      <c r="B126" s="8" t="s">
        <v>228</v>
      </c>
      <c r="C126" s="8" t="s">
        <v>258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customFormat="false" ht="19.5" hidden="false" customHeight="true" outlineLevel="0" collapsed="false">
      <c r="A127" s="8"/>
      <c r="B127" s="8" t="s">
        <v>228</v>
      </c>
      <c r="C127" s="8" t="s">
        <v>258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customFormat="false" ht="19.5" hidden="false" customHeight="true" outlineLevel="0" collapsed="false">
      <c r="A128" s="8"/>
      <c r="B128" s="8" t="s">
        <v>228</v>
      </c>
      <c r="C128" s="8" t="s">
        <v>258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customFormat="false" ht="19.5" hidden="false" customHeight="true" outlineLevel="0" collapsed="false">
      <c r="A129" s="8"/>
      <c r="B129" s="8" t="s">
        <v>228</v>
      </c>
      <c r="C129" s="8" t="s">
        <v>258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customFormat="false" ht="15" hidden="false" customHeight="false" outlineLevel="0" collapsed="false">
      <c r="A130" s="9" t="s">
        <v>23</v>
      </c>
      <c r="B130" s="10"/>
      <c r="C130" s="10"/>
      <c r="D130" s="10"/>
      <c r="E130" s="10"/>
      <c r="F130" s="10"/>
      <c r="G130" s="10"/>
      <c r="H130" s="10"/>
      <c r="I130" s="10"/>
      <c r="J130" s="9" t="str">
        <f aca="false">CONCATENATE("Погоджено: ",COUNTIF(O125:O129,"Погоджено"),"   ·   Межових: ",COUNTIF(O125:O129,"Межовий"),"   ·   Відкинуто: ",COUNTIF(O125:O129,"Відкинуто"))</f>
        <v>Погоджено: 1   ·   Межових: 0   ·   Відкинуто: 0</v>
      </c>
      <c r="K130" s="10"/>
      <c r="L130" s="10"/>
      <c r="M130" s="10"/>
      <c r="N130" s="10"/>
      <c r="O130" s="9" t="n">
        <f aca="false">COUNTIF(O125:O129,"Погоджено")</f>
        <v>1</v>
      </c>
      <c r="P130" s="10"/>
      <c r="Q130" s="10"/>
      <c r="R130" s="10"/>
      <c r="S130" s="10"/>
    </row>
    <row r="132" customFormat="false" ht="15" hidden="false" customHeight="false" outlineLevel="0" collapsed="false">
      <c r="A132" s="3" t="s">
        <v>265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Format="false" ht="48" hidden="false" customHeight="true" outlineLevel="0" collapsed="false">
      <c r="A133" s="11" t="n">
        <v>37</v>
      </c>
      <c r="B133" s="11" t="s">
        <v>228</v>
      </c>
      <c r="C133" s="11" t="s">
        <v>265</v>
      </c>
      <c r="D133" s="11" t="s">
        <v>266</v>
      </c>
      <c r="E133" s="11" t="s">
        <v>38</v>
      </c>
      <c r="F133" s="11" t="s">
        <v>267</v>
      </c>
      <c r="G133" s="11" t="s">
        <v>65</v>
      </c>
      <c r="H133" s="11" t="s">
        <v>116</v>
      </c>
      <c r="I133" s="11" t="s">
        <v>41</v>
      </c>
      <c r="J133" s="11" t="s">
        <v>268</v>
      </c>
      <c r="K133" s="11"/>
      <c r="L133" s="11" t="s">
        <v>219</v>
      </c>
      <c r="M133" s="11" t="s">
        <v>150</v>
      </c>
      <c r="N133" s="11" t="s">
        <v>44</v>
      </c>
      <c r="O133" s="11" t="s">
        <v>34</v>
      </c>
      <c r="P133" s="11" t="s">
        <v>269</v>
      </c>
      <c r="Q133" s="11" t="s">
        <v>206</v>
      </c>
      <c r="R133" s="12" t="s">
        <v>270</v>
      </c>
      <c r="S133" s="11"/>
    </row>
    <row r="134" customFormat="false" ht="19.5" hidden="false" customHeight="true" outlineLevel="0" collapsed="false">
      <c r="A134" s="8"/>
      <c r="B134" s="8" t="s">
        <v>228</v>
      </c>
      <c r="C134" s="8" t="s">
        <v>265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customFormat="false" ht="19.5" hidden="false" customHeight="true" outlineLevel="0" collapsed="false">
      <c r="A135" s="8"/>
      <c r="B135" s="8" t="s">
        <v>228</v>
      </c>
      <c r="C135" s="8" t="s">
        <v>265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customFormat="false" ht="19.5" hidden="false" customHeight="true" outlineLevel="0" collapsed="false">
      <c r="A136" s="8"/>
      <c r="B136" s="8" t="s">
        <v>228</v>
      </c>
      <c r="C136" s="8" t="s">
        <v>265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customFormat="false" ht="19.5" hidden="false" customHeight="true" outlineLevel="0" collapsed="false">
      <c r="A137" s="8"/>
      <c r="B137" s="8" t="s">
        <v>228</v>
      </c>
      <c r="C137" s="8" t="s">
        <v>265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customFormat="false" ht="15" hidden="false" customHeight="false" outlineLevel="0" collapsed="false">
      <c r="A138" s="9" t="s">
        <v>23</v>
      </c>
      <c r="B138" s="10"/>
      <c r="C138" s="10"/>
      <c r="D138" s="10"/>
      <c r="E138" s="10"/>
      <c r="F138" s="10"/>
      <c r="G138" s="10"/>
      <c r="H138" s="10"/>
      <c r="I138" s="10"/>
      <c r="J138" s="9" t="str">
        <f aca="false">CONCATENATE("Погоджено: ",COUNTIF(O133:O137,"Погоджено"),"   ·   Межових: ",COUNTIF(O133:O137,"Межовий"),"   ·   Відкинуто: ",COUNTIF(O133:O137,"Відкинуто"))</f>
        <v>Погоджено: 1   ·   Межових: 0   ·   Відкинуто: 0</v>
      </c>
      <c r="K138" s="10"/>
      <c r="L138" s="10"/>
      <c r="M138" s="10"/>
      <c r="N138" s="10"/>
      <c r="O138" s="9" t="n">
        <f aca="false">COUNTIF(O133:O137,"Погоджено")</f>
        <v>1</v>
      </c>
      <c r="P138" s="10"/>
      <c r="Q138" s="10"/>
      <c r="R138" s="10"/>
      <c r="S138" s="10"/>
    </row>
    <row r="140" customFormat="false" ht="15" hidden="false" customHeight="false" outlineLevel="0" collapsed="false">
      <c r="A140" s="3" t="s">
        <v>271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Format="false" ht="48" hidden="false" customHeight="true" outlineLevel="0" collapsed="false">
      <c r="A141" s="11" t="n">
        <v>38</v>
      </c>
      <c r="B141" s="11" t="s">
        <v>228</v>
      </c>
      <c r="C141" s="11" t="s">
        <v>271</v>
      </c>
      <c r="D141" s="11" t="s">
        <v>272</v>
      </c>
      <c r="E141" s="11" t="s">
        <v>38</v>
      </c>
      <c r="F141" s="11" t="s">
        <v>273</v>
      </c>
      <c r="G141" s="11" t="s">
        <v>274</v>
      </c>
      <c r="H141" s="11" t="s">
        <v>29</v>
      </c>
      <c r="I141" s="11" t="s">
        <v>231</v>
      </c>
      <c r="J141" s="11" t="s">
        <v>275</v>
      </c>
      <c r="K141" s="11"/>
      <c r="L141" s="11" t="s">
        <v>32</v>
      </c>
      <c r="M141" s="11" t="s">
        <v>33</v>
      </c>
      <c r="N141" s="11" t="s">
        <v>76</v>
      </c>
      <c r="O141" s="11" t="s">
        <v>34</v>
      </c>
      <c r="P141" s="11"/>
      <c r="Q141" s="11" t="s">
        <v>53</v>
      </c>
      <c r="R141" s="12" t="s">
        <v>276</v>
      </c>
      <c r="S141" s="11"/>
    </row>
    <row r="142" customFormat="false" ht="48" hidden="false" customHeight="true" outlineLevel="0" collapsed="false">
      <c r="A142" s="11" t="n">
        <v>39</v>
      </c>
      <c r="B142" s="11" t="s">
        <v>228</v>
      </c>
      <c r="C142" s="11" t="s">
        <v>271</v>
      </c>
      <c r="D142" s="11" t="s">
        <v>25</v>
      </c>
      <c r="E142" s="11" t="s">
        <v>26</v>
      </c>
      <c r="F142" s="11" t="s">
        <v>273</v>
      </c>
      <c r="G142" s="11" t="s">
        <v>28</v>
      </c>
      <c r="H142" s="11" t="s">
        <v>29</v>
      </c>
      <c r="I142" s="11" t="s">
        <v>30</v>
      </c>
      <c r="J142" s="11" t="s">
        <v>277</v>
      </c>
      <c r="K142" s="11"/>
      <c r="L142" s="11" t="s">
        <v>179</v>
      </c>
      <c r="M142" s="11" t="s">
        <v>33</v>
      </c>
      <c r="N142" s="11" t="s">
        <v>29</v>
      </c>
      <c r="O142" s="11" t="s">
        <v>34</v>
      </c>
      <c r="P142" s="11"/>
      <c r="Q142" s="11" t="s">
        <v>35</v>
      </c>
      <c r="R142" s="12" t="s">
        <v>36</v>
      </c>
      <c r="S142" s="11"/>
    </row>
    <row r="143" customFormat="false" ht="48" hidden="false" customHeight="true" outlineLevel="0" collapsed="false">
      <c r="A143" s="11" t="n">
        <v>40</v>
      </c>
      <c r="B143" s="11" t="s">
        <v>228</v>
      </c>
      <c r="C143" s="11" t="s">
        <v>271</v>
      </c>
      <c r="D143" s="11" t="s">
        <v>278</v>
      </c>
      <c r="E143" s="11" t="s">
        <v>38</v>
      </c>
      <c r="F143" s="11" t="s">
        <v>273</v>
      </c>
      <c r="G143" s="11" t="s">
        <v>274</v>
      </c>
      <c r="H143" s="11" t="s">
        <v>29</v>
      </c>
      <c r="I143" s="11" t="s">
        <v>30</v>
      </c>
      <c r="J143" s="11" t="s">
        <v>279</v>
      </c>
      <c r="K143" s="11"/>
      <c r="L143" s="11" t="s">
        <v>32</v>
      </c>
      <c r="M143" s="11" t="s">
        <v>33</v>
      </c>
      <c r="N143" s="11" t="s">
        <v>280</v>
      </c>
      <c r="O143" s="11" t="s">
        <v>34</v>
      </c>
      <c r="P143" s="11"/>
      <c r="Q143" s="11" t="s">
        <v>35</v>
      </c>
      <c r="R143" s="12" t="s">
        <v>281</v>
      </c>
      <c r="S143" s="12" t="s">
        <v>282</v>
      </c>
    </row>
    <row r="144" customFormat="false" ht="48" hidden="false" customHeight="true" outlineLevel="0" collapsed="false">
      <c r="A144" s="11" t="n">
        <v>41</v>
      </c>
      <c r="B144" s="11" t="s">
        <v>228</v>
      </c>
      <c r="C144" s="11" t="s">
        <v>271</v>
      </c>
      <c r="D144" s="11" t="s">
        <v>283</v>
      </c>
      <c r="E144" s="11" t="s">
        <v>38</v>
      </c>
      <c r="F144" s="11" t="s">
        <v>284</v>
      </c>
      <c r="G144" s="11" t="s">
        <v>95</v>
      </c>
      <c r="H144" s="11" t="s">
        <v>40</v>
      </c>
      <c r="I144" s="11" t="s">
        <v>41</v>
      </c>
      <c r="J144" s="11" t="s">
        <v>285</v>
      </c>
      <c r="K144" s="11"/>
      <c r="L144" s="11" t="s">
        <v>286</v>
      </c>
      <c r="M144" s="11" t="s">
        <v>33</v>
      </c>
      <c r="N144" s="11" t="s">
        <v>44</v>
      </c>
      <c r="O144" s="11" t="s">
        <v>34</v>
      </c>
      <c r="P144" s="11"/>
      <c r="Q144" s="11" t="s">
        <v>131</v>
      </c>
      <c r="R144" s="12" t="s">
        <v>287</v>
      </c>
      <c r="S144" s="11"/>
    </row>
    <row r="145" customFormat="false" ht="19.5" hidden="false" customHeight="true" outlineLevel="0" collapsed="false">
      <c r="A145" s="8"/>
      <c r="B145" s="8" t="s">
        <v>228</v>
      </c>
      <c r="C145" s="8" t="s">
        <v>271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customFormat="false" ht="19.5" hidden="false" customHeight="true" outlineLevel="0" collapsed="false">
      <c r="A146" s="8"/>
      <c r="B146" s="8" t="s">
        <v>228</v>
      </c>
      <c r="C146" s="8" t="s">
        <v>271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customFormat="false" ht="19.5" hidden="false" customHeight="true" outlineLevel="0" collapsed="false">
      <c r="A147" s="8"/>
      <c r="B147" s="8" t="s">
        <v>228</v>
      </c>
      <c r="C147" s="8" t="s">
        <v>271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customFormat="false" ht="19.5" hidden="false" customHeight="true" outlineLevel="0" collapsed="false">
      <c r="A148" s="8"/>
      <c r="B148" s="8" t="s">
        <v>228</v>
      </c>
      <c r="C148" s="8" t="s">
        <v>271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customFormat="false" ht="15" hidden="false" customHeight="false" outlineLevel="0" collapsed="false">
      <c r="A149" s="9" t="s">
        <v>23</v>
      </c>
      <c r="B149" s="10"/>
      <c r="C149" s="10"/>
      <c r="D149" s="10"/>
      <c r="E149" s="10"/>
      <c r="F149" s="10"/>
      <c r="G149" s="10"/>
      <c r="H149" s="10"/>
      <c r="I149" s="10"/>
      <c r="J149" s="9" t="str">
        <f aca="false">CONCATENATE("Погоджено: ",COUNTIF(O141:O148,"Погоджено"),"   ·   Межових: ",COUNTIF(O141:O148,"Межовий"),"   ·   Відкинуто: ",COUNTIF(O141:O148,"Відкинуто"))</f>
        <v>Погоджено: 4   ·   Межових: 0   ·   Відкинуто: 0</v>
      </c>
      <c r="K149" s="10"/>
      <c r="L149" s="10"/>
      <c r="M149" s="10"/>
      <c r="N149" s="10"/>
      <c r="O149" s="9" t="n">
        <f aca="false">COUNTIF(O141:O148,"Погоджено")</f>
        <v>4</v>
      </c>
      <c r="P149" s="10"/>
      <c r="Q149" s="10"/>
      <c r="R149" s="10"/>
      <c r="S149" s="10"/>
    </row>
    <row r="151" customFormat="false" ht="15" hidden="false" customHeight="false" outlineLevel="0" collapsed="false">
      <c r="A151" s="3" t="s">
        <v>288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Format="false" ht="48" hidden="false" customHeight="true" outlineLevel="0" collapsed="false">
      <c r="A152" s="11" t="n">
        <v>42</v>
      </c>
      <c r="B152" s="11" t="s">
        <v>228</v>
      </c>
      <c r="C152" s="11" t="s">
        <v>288</v>
      </c>
      <c r="D152" s="11" t="s">
        <v>25</v>
      </c>
      <c r="E152" s="11" t="s">
        <v>26</v>
      </c>
      <c r="F152" s="11" t="s">
        <v>289</v>
      </c>
      <c r="G152" s="11" t="s">
        <v>28</v>
      </c>
      <c r="H152" s="11" t="s">
        <v>29</v>
      </c>
      <c r="I152" s="11" t="s">
        <v>30</v>
      </c>
      <c r="J152" s="11" t="s">
        <v>290</v>
      </c>
      <c r="K152" s="11"/>
      <c r="L152" s="11" t="s">
        <v>291</v>
      </c>
      <c r="M152" s="11" t="s">
        <v>33</v>
      </c>
      <c r="N152" s="11" t="s">
        <v>29</v>
      </c>
      <c r="O152" s="11" t="s">
        <v>34</v>
      </c>
      <c r="P152" s="11"/>
      <c r="Q152" s="11" t="s">
        <v>35</v>
      </c>
      <c r="R152" s="12" t="s">
        <v>36</v>
      </c>
      <c r="S152" s="11"/>
    </row>
    <row r="153" customFormat="false" ht="48" hidden="false" customHeight="true" outlineLevel="0" collapsed="false">
      <c r="A153" s="11" t="n">
        <v>43</v>
      </c>
      <c r="B153" s="11" t="s">
        <v>228</v>
      </c>
      <c r="C153" s="11" t="s">
        <v>288</v>
      </c>
      <c r="D153" s="11" t="s">
        <v>292</v>
      </c>
      <c r="E153" s="11" t="s">
        <v>38</v>
      </c>
      <c r="F153" s="11" t="s">
        <v>293</v>
      </c>
      <c r="G153" s="11" t="s">
        <v>65</v>
      </c>
      <c r="H153" s="11" t="s">
        <v>116</v>
      </c>
      <c r="I153" s="11" t="s">
        <v>41</v>
      </c>
      <c r="J153" s="11" t="s">
        <v>294</v>
      </c>
      <c r="K153" s="11" t="s">
        <v>295</v>
      </c>
      <c r="L153" s="11" t="s">
        <v>296</v>
      </c>
      <c r="M153" s="11" t="s">
        <v>297</v>
      </c>
      <c r="N153" s="11" t="s">
        <v>298</v>
      </c>
      <c r="O153" s="11" t="s">
        <v>70</v>
      </c>
      <c r="P153" s="11" t="s">
        <v>299</v>
      </c>
      <c r="Q153" s="11" t="s">
        <v>35</v>
      </c>
      <c r="R153" s="12" t="s">
        <v>300</v>
      </c>
      <c r="S153" s="12" t="s">
        <v>301</v>
      </c>
    </row>
    <row r="154" customFormat="false" ht="19.5" hidden="false" customHeight="true" outlineLevel="0" collapsed="false">
      <c r="A154" s="8"/>
      <c r="B154" s="8" t="s">
        <v>228</v>
      </c>
      <c r="C154" s="8" t="s">
        <v>288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customFormat="false" ht="19.5" hidden="false" customHeight="true" outlineLevel="0" collapsed="false">
      <c r="A155" s="8"/>
      <c r="B155" s="8" t="s">
        <v>228</v>
      </c>
      <c r="C155" s="8" t="s">
        <v>288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customFormat="false" ht="19.5" hidden="false" customHeight="true" outlineLevel="0" collapsed="false">
      <c r="A156" s="8"/>
      <c r="B156" s="8" t="s">
        <v>228</v>
      </c>
      <c r="C156" s="8" t="s">
        <v>288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customFormat="false" ht="19.5" hidden="false" customHeight="true" outlineLevel="0" collapsed="false">
      <c r="A157" s="8"/>
      <c r="B157" s="8" t="s">
        <v>228</v>
      </c>
      <c r="C157" s="8" t="s">
        <v>288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customFormat="false" ht="15" hidden="false" customHeight="false" outlineLevel="0" collapsed="false">
      <c r="A158" s="9" t="s">
        <v>23</v>
      </c>
      <c r="B158" s="10"/>
      <c r="C158" s="10"/>
      <c r="D158" s="10"/>
      <c r="E158" s="10"/>
      <c r="F158" s="10"/>
      <c r="G158" s="10"/>
      <c r="H158" s="10"/>
      <c r="I158" s="10"/>
      <c r="J158" s="9" t="str">
        <f aca="false">CONCATENATE("Погоджено: ",COUNTIF(O152:O157,"Погоджено"),"   ·   Межових: ",COUNTIF(O152:O157,"Межовий"),"   ·   Відкинуто: ",COUNTIF(O152:O157,"Відкинуто"))</f>
        <v>Погоджено: 1   ·   Межових: 0   ·   Відкинуто: 1</v>
      </c>
      <c r="K158" s="10"/>
      <c r="L158" s="10"/>
      <c r="M158" s="10"/>
      <c r="N158" s="10"/>
      <c r="O158" s="9" t="n">
        <f aca="false">COUNTIF(O152:O157,"Погоджено")</f>
        <v>1</v>
      </c>
      <c r="P158" s="10"/>
      <c r="Q158" s="10"/>
      <c r="R158" s="10"/>
      <c r="S158" s="10"/>
    </row>
    <row r="160" customFormat="false" ht="15" hidden="false" customHeight="false" outlineLevel="0" collapsed="false">
      <c r="A160" s="3" t="s">
        <v>302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Format="false" ht="48" hidden="false" customHeight="true" outlineLevel="0" collapsed="false">
      <c r="A161" s="11" t="n">
        <v>44</v>
      </c>
      <c r="B161" s="11" t="s">
        <v>228</v>
      </c>
      <c r="C161" s="11" t="s">
        <v>302</v>
      </c>
      <c r="D161" s="11" t="s">
        <v>303</v>
      </c>
      <c r="E161" s="11" t="s">
        <v>38</v>
      </c>
      <c r="F161" s="11" t="s">
        <v>304</v>
      </c>
      <c r="G161" s="11" t="s">
        <v>65</v>
      </c>
      <c r="H161" s="11" t="s">
        <v>87</v>
      </c>
      <c r="I161" s="11" t="s">
        <v>41</v>
      </c>
      <c r="J161" s="11" t="s">
        <v>305</v>
      </c>
      <c r="K161" s="11" t="s">
        <v>306</v>
      </c>
      <c r="L161" s="11" t="s">
        <v>307</v>
      </c>
      <c r="M161" s="11" t="s">
        <v>297</v>
      </c>
      <c r="N161" s="11" t="s">
        <v>308</v>
      </c>
      <c r="O161" s="11" t="s">
        <v>70</v>
      </c>
      <c r="P161" s="11" t="s">
        <v>309</v>
      </c>
      <c r="Q161" s="11" t="s">
        <v>167</v>
      </c>
      <c r="R161" s="12" t="s">
        <v>310</v>
      </c>
      <c r="S161" s="11"/>
    </row>
    <row r="162" customFormat="false" ht="19.5" hidden="false" customHeight="true" outlineLevel="0" collapsed="false">
      <c r="A162" s="8"/>
      <c r="B162" s="8" t="s">
        <v>228</v>
      </c>
      <c r="C162" s="8" t="s">
        <v>302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customFormat="false" ht="19.5" hidden="false" customHeight="true" outlineLevel="0" collapsed="false">
      <c r="A163" s="8"/>
      <c r="B163" s="8" t="s">
        <v>228</v>
      </c>
      <c r="C163" s="8" t="s">
        <v>302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customFormat="false" ht="19.5" hidden="false" customHeight="true" outlineLevel="0" collapsed="false">
      <c r="A164" s="8"/>
      <c r="B164" s="8" t="s">
        <v>228</v>
      </c>
      <c r="C164" s="8" t="s">
        <v>302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customFormat="false" ht="19.5" hidden="false" customHeight="true" outlineLevel="0" collapsed="false">
      <c r="A165" s="8"/>
      <c r="B165" s="8" t="s">
        <v>228</v>
      </c>
      <c r="C165" s="8" t="s">
        <v>302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customFormat="false" ht="15" hidden="false" customHeight="false" outlineLevel="0" collapsed="false">
      <c r="A166" s="9" t="s">
        <v>23</v>
      </c>
      <c r="B166" s="10"/>
      <c r="C166" s="10"/>
      <c r="D166" s="10"/>
      <c r="E166" s="10"/>
      <c r="F166" s="10"/>
      <c r="G166" s="10"/>
      <c r="H166" s="10"/>
      <c r="I166" s="10"/>
      <c r="J166" s="9" t="str">
        <f aca="false">CONCATENATE("Погоджено: ",COUNTIF(O161:O165,"Погоджено"),"   ·   Межових: ",COUNTIF(O161:O165,"Межовий"),"   ·   Відкинуто: ",COUNTIF(O161:O165,"Відкинуто"))</f>
        <v>Погоджено: 0   ·   Межових: 0   ·   Відкинуто: 1</v>
      </c>
      <c r="K166" s="10"/>
      <c r="L166" s="10"/>
      <c r="M166" s="10"/>
      <c r="N166" s="10"/>
      <c r="O166" s="9" t="n">
        <f aca="false">COUNTIF(O161:O165,"Погоджено")</f>
        <v>0</v>
      </c>
      <c r="P166" s="10"/>
      <c r="Q166" s="10"/>
      <c r="R166" s="10"/>
      <c r="S166" s="10"/>
    </row>
    <row r="168" customFormat="false" ht="15" hidden="false" customHeight="false" outlineLevel="0" collapsed="false">
      <c r="A168" s="3" t="s">
        <v>311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Format="false" ht="45.75" hidden="false" customHeight="true" outlineLevel="0" collapsed="false">
      <c r="A169" s="5"/>
      <c r="B169" s="6" t="s">
        <v>228</v>
      </c>
      <c r="C169" s="6" t="s">
        <v>311</v>
      </c>
      <c r="D169" s="5"/>
      <c r="E169" s="5"/>
      <c r="F169" s="5"/>
      <c r="G169" s="5"/>
      <c r="H169" s="5"/>
      <c r="I169" s="5"/>
      <c r="J169" s="7" t="s">
        <v>312</v>
      </c>
      <c r="K169" s="5"/>
      <c r="L169" s="5"/>
      <c r="M169" s="5"/>
      <c r="N169" s="5"/>
      <c r="O169" s="6" t="s">
        <v>22</v>
      </c>
      <c r="P169" s="5"/>
      <c r="Q169" s="5"/>
      <c r="R169" s="5"/>
      <c r="S169" s="5"/>
    </row>
    <row r="170" customFormat="false" ht="19.5" hidden="false" customHeight="true" outlineLevel="0" collapsed="false">
      <c r="A170" s="8"/>
      <c r="B170" s="8" t="s">
        <v>228</v>
      </c>
      <c r="C170" s="8" t="s">
        <v>311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customFormat="false" ht="19.5" hidden="false" customHeight="true" outlineLevel="0" collapsed="false">
      <c r="A171" s="8"/>
      <c r="B171" s="8" t="s">
        <v>228</v>
      </c>
      <c r="C171" s="8" t="s">
        <v>311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customFormat="false" ht="19.5" hidden="false" customHeight="true" outlineLevel="0" collapsed="false">
      <c r="A172" s="8"/>
      <c r="B172" s="8" t="s">
        <v>228</v>
      </c>
      <c r="C172" s="8" t="s">
        <v>311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customFormat="false" ht="19.5" hidden="false" customHeight="true" outlineLevel="0" collapsed="false">
      <c r="A173" s="8"/>
      <c r="B173" s="8" t="s">
        <v>228</v>
      </c>
      <c r="C173" s="8" t="s">
        <v>311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customFormat="false" ht="15" hidden="false" customHeight="false" outlineLevel="0" collapsed="false">
      <c r="A174" s="9" t="s">
        <v>23</v>
      </c>
      <c r="B174" s="10"/>
      <c r="C174" s="10"/>
      <c r="D174" s="10"/>
      <c r="E174" s="10"/>
      <c r="F174" s="10"/>
      <c r="G174" s="10"/>
      <c r="H174" s="10"/>
      <c r="I174" s="10"/>
      <c r="J174" s="9" t="str">
        <f aca="false">CONCATENATE("Погоджено: ",COUNTIF(O169:O173,"Погоджено"),"   ·   Межових: ",COUNTIF(O169:O173,"Межовий"),"   ·   Відкинуто: ",COUNTIF(O169:O173,"Відкинуто"))</f>
        <v>Погоджено: 0   ·   Межових: 0   ·   Відкинуто: 0</v>
      </c>
      <c r="K174" s="10"/>
      <c r="L174" s="10"/>
      <c r="M174" s="10"/>
      <c r="N174" s="10"/>
      <c r="O174" s="9" t="n">
        <f aca="false">COUNTIF(O169:O173,"Погоджено")</f>
        <v>0</v>
      </c>
      <c r="P174" s="10"/>
      <c r="Q174" s="10"/>
      <c r="R174" s="10"/>
      <c r="S174" s="10"/>
    </row>
    <row r="176" customFormat="false" ht="15" hidden="false" customHeight="false" outlineLevel="0" collapsed="false">
      <c r="A176" s="3" t="s">
        <v>313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Format="false" ht="48" hidden="false" customHeight="true" outlineLevel="0" collapsed="false">
      <c r="A177" s="11" t="n">
        <v>45</v>
      </c>
      <c r="B177" s="11" t="s">
        <v>228</v>
      </c>
      <c r="C177" s="11" t="s">
        <v>313</v>
      </c>
      <c r="D177" s="11" t="s">
        <v>314</v>
      </c>
      <c r="E177" s="11" t="s">
        <v>38</v>
      </c>
      <c r="F177" s="11" t="s">
        <v>315</v>
      </c>
      <c r="G177" s="11" t="s">
        <v>65</v>
      </c>
      <c r="H177" s="11" t="s">
        <v>66</v>
      </c>
      <c r="I177" s="11" t="s">
        <v>41</v>
      </c>
      <c r="J177" s="11" t="s">
        <v>316</v>
      </c>
      <c r="K177" s="11"/>
      <c r="L177" s="11" t="s">
        <v>317</v>
      </c>
      <c r="M177" s="11" t="s">
        <v>318</v>
      </c>
      <c r="N177" s="11" t="s">
        <v>44</v>
      </c>
      <c r="O177" s="11" t="s">
        <v>70</v>
      </c>
      <c r="P177" s="11" t="s">
        <v>319</v>
      </c>
      <c r="Q177" s="11" t="s">
        <v>53</v>
      </c>
      <c r="R177" s="12" t="s">
        <v>320</v>
      </c>
      <c r="S177" s="11"/>
    </row>
    <row r="178" customFormat="false" ht="19.5" hidden="false" customHeight="true" outlineLevel="0" collapsed="false">
      <c r="A178" s="8"/>
      <c r="B178" s="8" t="s">
        <v>228</v>
      </c>
      <c r="C178" s="8" t="s">
        <v>313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customFormat="false" ht="19.5" hidden="false" customHeight="true" outlineLevel="0" collapsed="false">
      <c r="A179" s="8"/>
      <c r="B179" s="8" t="s">
        <v>228</v>
      </c>
      <c r="C179" s="8" t="s">
        <v>313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customFormat="false" ht="19.5" hidden="false" customHeight="true" outlineLevel="0" collapsed="false">
      <c r="A180" s="8"/>
      <c r="B180" s="8" t="s">
        <v>228</v>
      </c>
      <c r="C180" s="8" t="s">
        <v>313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customFormat="false" ht="19.5" hidden="false" customHeight="true" outlineLevel="0" collapsed="false">
      <c r="A181" s="8"/>
      <c r="B181" s="8" t="s">
        <v>228</v>
      </c>
      <c r="C181" s="8" t="s">
        <v>313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customFormat="false" ht="15" hidden="false" customHeight="false" outlineLevel="0" collapsed="false">
      <c r="A182" s="9" t="s">
        <v>23</v>
      </c>
      <c r="B182" s="10"/>
      <c r="C182" s="10"/>
      <c r="D182" s="10"/>
      <c r="E182" s="10"/>
      <c r="F182" s="10"/>
      <c r="G182" s="10"/>
      <c r="H182" s="10"/>
      <c r="I182" s="10"/>
      <c r="J182" s="9" t="str">
        <f aca="false">CONCATENATE("Погоджено: ",COUNTIF(O177:O181,"Погоджено"),"   ·   Межових: ",COUNTIF(O177:O181,"Межовий"),"   ·   Відкинуто: ",COUNTIF(O177:O181,"Відкинуто"))</f>
        <v>Погоджено: 0   ·   Межових: 0   ·   Відкинуто: 1</v>
      </c>
      <c r="K182" s="10"/>
      <c r="L182" s="10"/>
      <c r="M182" s="10"/>
      <c r="N182" s="10"/>
      <c r="O182" s="9" t="n">
        <f aca="false">COUNTIF(O177:O181,"Погоджено")</f>
        <v>0</v>
      </c>
      <c r="P182" s="10"/>
      <c r="Q182" s="10"/>
      <c r="R182" s="10"/>
      <c r="S182" s="10"/>
    </row>
    <row r="184" customFormat="false" ht="15" hidden="false" customHeight="false" outlineLevel="0" collapsed="false">
      <c r="A184" s="3" t="s">
        <v>321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Format="false" ht="48" hidden="false" customHeight="true" outlineLevel="0" collapsed="false">
      <c r="A185" s="11" t="n">
        <v>46</v>
      </c>
      <c r="B185" s="11" t="s">
        <v>228</v>
      </c>
      <c r="C185" s="11" t="s">
        <v>321</v>
      </c>
      <c r="D185" s="11" t="s">
        <v>254</v>
      </c>
      <c r="E185" s="11" t="s">
        <v>38</v>
      </c>
      <c r="F185" s="11" t="s">
        <v>322</v>
      </c>
      <c r="G185" s="11" t="s">
        <v>65</v>
      </c>
      <c r="H185" s="11" t="s">
        <v>96</v>
      </c>
      <c r="I185" s="11" t="s">
        <v>41</v>
      </c>
      <c r="J185" s="11" t="s">
        <v>323</v>
      </c>
      <c r="K185" s="11" t="s">
        <v>98</v>
      </c>
      <c r="L185" s="11" t="s">
        <v>99</v>
      </c>
      <c r="M185" s="11" t="s">
        <v>60</v>
      </c>
      <c r="N185" s="11" t="s">
        <v>44</v>
      </c>
      <c r="O185" s="11" t="s">
        <v>70</v>
      </c>
      <c r="P185" s="11" t="s">
        <v>324</v>
      </c>
      <c r="Q185" s="11" t="s">
        <v>206</v>
      </c>
      <c r="R185" s="12" t="s">
        <v>325</v>
      </c>
      <c r="S185" s="12" t="s">
        <v>326</v>
      </c>
    </row>
    <row r="186" customFormat="false" ht="19.5" hidden="false" customHeight="true" outlineLevel="0" collapsed="false">
      <c r="A186" s="8"/>
      <c r="B186" s="8" t="s">
        <v>228</v>
      </c>
      <c r="C186" s="8" t="s">
        <v>321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customFormat="false" ht="19.5" hidden="false" customHeight="true" outlineLevel="0" collapsed="false">
      <c r="A187" s="8"/>
      <c r="B187" s="8" t="s">
        <v>228</v>
      </c>
      <c r="C187" s="8" t="s">
        <v>321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customFormat="false" ht="19.5" hidden="false" customHeight="true" outlineLevel="0" collapsed="false">
      <c r="A188" s="8"/>
      <c r="B188" s="8" t="s">
        <v>228</v>
      </c>
      <c r="C188" s="8" t="s">
        <v>321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customFormat="false" ht="19.5" hidden="false" customHeight="true" outlineLevel="0" collapsed="false">
      <c r="A189" s="8"/>
      <c r="B189" s="8" t="s">
        <v>228</v>
      </c>
      <c r="C189" s="8" t="s">
        <v>321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customFormat="false" ht="15" hidden="false" customHeight="false" outlineLevel="0" collapsed="false">
      <c r="A190" s="9" t="s">
        <v>23</v>
      </c>
      <c r="B190" s="10"/>
      <c r="C190" s="10"/>
      <c r="D190" s="10"/>
      <c r="E190" s="10"/>
      <c r="F190" s="10"/>
      <c r="G190" s="10"/>
      <c r="H190" s="10"/>
      <c r="I190" s="10"/>
      <c r="J190" s="9" t="str">
        <f aca="false">CONCATENATE("Погоджено: ",COUNTIF(O185:O189,"Погоджено"),"   ·   Межових: ",COUNTIF(O185:O189,"Межовий"),"   ·   Відкинуто: ",COUNTIF(O185:O189,"Відкинуто"))</f>
        <v>Погоджено: 0   ·   Межових: 0   ·   Відкинуто: 1</v>
      </c>
      <c r="K190" s="10"/>
      <c r="L190" s="10"/>
      <c r="M190" s="10"/>
      <c r="N190" s="10"/>
      <c r="O190" s="9" t="n">
        <f aca="false">COUNTIF(O185:O189,"Погоджено")</f>
        <v>0</v>
      </c>
      <c r="P190" s="10"/>
      <c r="Q190" s="10"/>
      <c r="R190" s="10"/>
      <c r="S190" s="10"/>
    </row>
    <row r="192" customFormat="false" ht="15" hidden="false" customHeight="false" outlineLevel="0" collapsed="false">
      <c r="A192" s="3" t="s">
        <v>327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Format="false" ht="45.75" hidden="false" customHeight="true" outlineLevel="0" collapsed="false">
      <c r="A193" s="5"/>
      <c r="B193" s="6" t="s">
        <v>228</v>
      </c>
      <c r="C193" s="6" t="s">
        <v>327</v>
      </c>
      <c r="D193" s="5"/>
      <c r="E193" s="5"/>
      <c r="F193" s="5"/>
      <c r="G193" s="5"/>
      <c r="H193" s="5"/>
      <c r="I193" s="5"/>
      <c r="J193" s="7" t="s">
        <v>328</v>
      </c>
      <c r="K193" s="5"/>
      <c r="L193" s="5"/>
      <c r="M193" s="5"/>
      <c r="N193" s="5"/>
      <c r="O193" s="6" t="s">
        <v>22</v>
      </c>
      <c r="P193" s="5"/>
      <c r="Q193" s="5"/>
      <c r="R193" s="5"/>
      <c r="S193" s="5"/>
    </row>
    <row r="194" customFormat="false" ht="19.5" hidden="false" customHeight="true" outlineLevel="0" collapsed="false">
      <c r="A194" s="8"/>
      <c r="B194" s="8" t="s">
        <v>228</v>
      </c>
      <c r="C194" s="8" t="s">
        <v>327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customFormat="false" ht="19.5" hidden="false" customHeight="true" outlineLevel="0" collapsed="false">
      <c r="A195" s="8"/>
      <c r="B195" s="8" t="s">
        <v>228</v>
      </c>
      <c r="C195" s="8" t="s">
        <v>327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customFormat="false" ht="19.5" hidden="false" customHeight="true" outlineLevel="0" collapsed="false">
      <c r="A196" s="8"/>
      <c r="B196" s="8" t="s">
        <v>228</v>
      </c>
      <c r="C196" s="8" t="s">
        <v>327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customFormat="false" ht="19.5" hidden="false" customHeight="true" outlineLevel="0" collapsed="false">
      <c r="A197" s="8"/>
      <c r="B197" s="8" t="s">
        <v>228</v>
      </c>
      <c r="C197" s="8" t="s">
        <v>327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customFormat="false" ht="15" hidden="false" customHeight="false" outlineLevel="0" collapsed="false">
      <c r="A198" s="9" t="s">
        <v>23</v>
      </c>
      <c r="B198" s="10"/>
      <c r="C198" s="10"/>
      <c r="D198" s="10"/>
      <c r="E198" s="10"/>
      <c r="F198" s="10"/>
      <c r="G198" s="10"/>
      <c r="H198" s="10"/>
      <c r="I198" s="10"/>
      <c r="J198" s="9" t="str">
        <f aca="false">CONCATENATE("Погоджено: ",COUNTIF(O193:O197,"Погоджено"),"   ·   Межових: ",COUNTIF(O193:O197,"Межовий"),"   ·   Відкинуто: ",COUNTIF(O193:O197,"Відкинуто"))</f>
        <v>Погоджено: 0   ·   Межових: 0   ·   Відкинуто: 0</v>
      </c>
      <c r="K198" s="10"/>
      <c r="L198" s="10"/>
      <c r="M198" s="10"/>
      <c r="N198" s="10"/>
      <c r="O198" s="9" t="n">
        <f aca="false">COUNTIF(O193:O197,"Погоджено")</f>
        <v>0</v>
      </c>
      <c r="P198" s="10"/>
      <c r="Q198" s="10"/>
      <c r="R198" s="10"/>
      <c r="S198" s="10"/>
    </row>
    <row r="200" customFormat="false" ht="15" hidden="false" customHeight="false" outlineLevel="0" collapsed="false">
      <c r="A200" s="3" t="s">
        <v>329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Format="false" ht="48" hidden="false" customHeight="true" outlineLevel="0" collapsed="false">
      <c r="A201" s="11" t="n">
        <v>47</v>
      </c>
      <c r="B201" s="11" t="s">
        <v>330</v>
      </c>
      <c r="C201" s="11" t="s">
        <v>329</v>
      </c>
      <c r="D201" s="11" t="s">
        <v>331</v>
      </c>
      <c r="E201" s="11" t="s">
        <v>38</v>
      </c>
      <c r="F201" s="11" t="s">
        <v>332</v>
      </c>
      <c r="G201" s="11" t="s">
        <v>65</v>
      </c>
      <c r="H201" s="11" t="s">
        <v>96</v>
      </c>
      <c r="I201" s="11" t="s">
        <v>41</v>
      </c>
      <c r="J201" s="11" t="s">
        <v>333</v>
      </c>
      <c r="K201" s="11" t="s">
        <v>98</v>
      </c>
      <c r="L201" s="11" t="s">
        <v>99</v>
      </c>
      <c r="M201" s="11" t="s">
        <v>69</v>
      </c>
      <c r="N201" s="11" t="s">
        <v>44</v>
      </c>
      <c r="O201" s="11" t="s">
        <v>70</v>
      </c>
      <c r="P201" s="11" t="s">
        <v>334</v>
      </c>
      <c r="Q201" s="11" t="s">
        <v>53</v>
      </c>
      <c r="R201" s="12" t="s">
        <v>335</v>
      </c>
      <c r="S201" s="11"/>
    </row>
    <row r="202" customFormat="false" ht="48" hidden="false" customHeight="true" outlineLevel="0" collapsed="false">
      <c r="A202" s="11" t="n">
        <v>48</v>
      </c>
      <c r="B202" s="11" t="s">
        <v>330</v>
      </c>
      <c r="C202" s="11" t="s">
        <v>329</v>
      </c>
      <c r="D202" s="11" t="s">
        <v>266</v>
      </c>
      <c r="E202" s="11" t="s">
        <v>38</v>
      </c>
      <c r="F202" s="11" t="s">
        <v>336</v>
      </c>
      <c r="G202" s="11" t="s">
        <v>65</v>
      </c>
      <c r="H202" s="11" t="s">
        <v>96</v>
      </c>
      <c r="I202" s="11" t="s">
        <v>41</v>
      </c>
      <c r="J202" s="11" t="s">
        <v>337</v>
      </c>
      <c r="K202" s="11" t="s">
        <v>98</v>
      </c>
      <c r="L202" s="11" t="s">
        <v>338</v>
      </c>
      <c r="M202" s="11" t="s">
        <v>69</v>
      </c>
      <c r="N202" s="11" t="s">
        <v>44</v>
      </c>
      <c r="O202" s="11" t="s">
        <v>70</v>
      </c>
      <c r="P202" s="11" t="s">
        <v>339</v>
      </c>
      <c r="Q202" s="11" t="s">
        <v>206</v>
      </c>
      <c r="R202" s="12" t="s">
        <v>340</v>
      </c>
      <c r="S202" s="11"/>
    </row>
    <row r="203" customFormat="false" ht="19.5" hidden="false" customHeight="true" outlineLevel="0" collapsed="false">
      <c r="A203" s="8"/>
      <c r="B203" s="8" t="s">
        <v>330</v>
      </c>
      <c r="C203" s="8" t="s">
        <v>329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customFormat="false" ht="19.5" hidden="false" customHeight="true" outlineLevel="0" collapsed="false">
      <c r="A204" s="8"/>
      <c r="B204" s="8" t="s">
        <v>330</v>
      </c>
      <c r="C204" s="8" t="s">
        <v>329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customFormat="false" ht="19.5" hidden="false" customHeight="true" outlineLevel="0" collapsed="false">
      <c r="A205" s="8"/>
      <c r="B205" s="8" t="s">
        <v>330</v>
      </c>
      <c r="C205" s="8" t="s">
        <v>329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customFormat="false" ht="19.5" hidden="false" customHeight="true" outlineLevel="0" collapsed="false">
      <c r="A206" s="8"/>
      <c r="B206" s="8" t="s">
        <v>330</v>
      </c>
      <c r="C206" s="8" t="s">
        <v>329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customFormat="false" ht="15" hidden="false" customHeight="false" outlineLevel="0" collapsed="false">
      <c r="A207" s="9" t="s">
        <v>23</v>
      </c>
      <c r="B207" s="10"/>
      <c r="C207" s="10"/>
      <c r="D207" s="10"/>
      <c r="E207" s="10"/>
      <c r="F207" s="10"/>
      <c r="G207" s="10"/>
      <c r="H207" s="10"/>
      <c r="I207" s="10"/>
      <c r="J207" s="9" t="str">
        <f aca="false">CONCATENATE("Погоджено: ",COUNTIF(O201:O206,"Погоджено"),"   ·   Межових: ",COUNTIF(O201:O206,"Межовий"),"   ·   Відкинуто: ",COUNTIF(O201:O206,"Відкинуто"))</f>
        <v>Погоджено: 0   ·   Межових: 0   ·   Відкинуто: 2</v>
      </c>
      <c r="K207" s="10"/>
      <c r="L207" s="10"/>
      <c r="M207" s="10"/>
      <c r="N207" s="10"/>
      <c r="O207" s="9" t="n">
        <f aca="false">COUNTIF(O201:O206,"Погоджено")</f>
        <v>0</v>
      </c>
      <c r="P207" s="10"/>
      <c r="Q207" s="10"/>
      <c r="R207" s="10"/>
      <c r="S207" s="10"/>
    </row>
    <row r="209" customFormat="false" ht="15" hidden="false" customHeight="false" outlineLevel="0" collapsed="false">
      <c r="A209" s="3" t="s">
        <v>341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Format="false" ht="45.75" hidden="false" customHeight="true" outlineLevel="0" collapsed="false">
      <c r="A210" s="5"/>
      <c r="B210" s="6" t="s">
        <v>330</v>
      </c>
      <c r="C210" s="6" t="s">
        <v>341</v>
      </c>
      <c r="D210" s="5"/>
      <c r="E210" s="5"/>
      <c r="F210" s="5"/>
      <c r="G210" s="5"/>
      <c r="H210" s="5"/>
      <c r="I210" s="5"/>
      <c r="J210" s="7" t="s">
        <v>342</v>
      </c>
      <c r="K210" s="5"/>
      <c r="L210" s="5"/>
      <c r="M210" s="5"/>
      <c r="N210" s="5"/>
      <c r="O210" s="6" t="s">
        <v>22</v>
      </c>
      <c r="P210" s="5"/>
      <c r="Q210" s="5"/>
      <c r="R210" s="5"/>
      <c r="S210" s="5"/>
    </row>
    <row r="211" customFormat="false" ht="19.5" hidden="false" customHeight="true" outlineLevel="0" collapsed="false">
      <c r="A211" s="8"/>
      <c r="B211" s="8" t="s">
        <v>330</v>
      </c>
      <c r="C211" s="8" t="s">
        <v>341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customFormat="false" ht="19.5" hidden="false" customHeight="true" outlineLevel="0" collapsed="false">
      <c r="A212" s="8"/>
      <c r="B212" s="8" t="s">
        <v>330</v>
      </c>
      <c r="C212" s="8" t="s">
        <v>341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customFormat="false" ht="19.5" hidden="false" customHeight="true" outlineLevel="0" collapsed="false">
      <c r="A213" s="8"/>
      <c r="B213" s="8" t="s">
        <v>330</v>
      </c>
      <c r="C213" s="8" t="s">
        <v>341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customFormat="false" ht="19.5" hidden="false" customHeight="true" outlineLevel="0" collapsed="false">
      <c r="A214" s="8"/>
      <c r="B214" s="8" t="s">
        <v>330</v>
      </c>
      <c r="C214" s="8" t="s">
        <v>341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customFormat="false" ht="15" hidden="false" customHeight="false" outlineLevel="0" collapsed="false">
      <c r="A215" s="9" t="s">
        <v>23</v>
      </c>
      <c r="B215" s="10"/>
      <c r="C215" s="10"/>
      <c r="D215" s="10"/>
      <c r="E215" s="10"/>
      <c r="F215" s="10"/>
      <c r="G215" s="10"/>
      <c r="H215" s="10"/>
      <c r="I215" s="10"/>
      <c r="J215" s="9" t="str">
        <f aca="false">CONCATENATE("Погоджено: ",COUNTIF(O210:O214,"Погоджено"),"   ·   Межових: ",COUNTIF(O210:O214,"Межовий"),"   ·   Відкинуто: ",COUNTIF(O210:O214,"Відкинуто"))</f>
        <v>Погоджено: 0   ·   Межових: 0   ·   Відкинуто: 0</v>
      </c>
      <c r="K215" s="10"/>
      <c r="L215" s="10"/>
      <c r="M215" s="10"/>
      <c r="N215" s="10"/>
      <c r="O215" s="9" t="n">
        <f aca="false">COUNTIF(O210:O214,"Погоджено")</f>
        <v>0</v>
      </c>
      <c r="P215" s="10"/>
      <c r="Q215" s="10"/>
      <c r="R215" s="10"/>
      <c r="S215" s="10"/>
    </row>
    <row r="217" customFormat="false" ht="15" hidden="false" customHeight="false" outlineLevel="0" collapsed="false">
      <c r="A217" s="3" t="s">
        <v>343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Format="false" ht="48" hidden="false" customHeight="true" outlineLevel="0" collapsed="false">
      <c r="A218" s="11" t="n">
        <v>49</v>
      </c>
      <c r="B218" s="11" t="s">
        <v>22</v>
      </c>
      <c r="C218" s="11" t="s">
        <v>343</v>
      </c>
      <c r="D218" s="11" t="s">
        <v>344</v>
      </c>
      <c r="E218" s="11" t="s">
        <v>189</v>
      </c>
      <c r="F218" s="11" t="s">
        <v>345</v>
      </c>
      <c r="G218" s="11" t="s">
        <v>212</v>
      </c>
      <c r="H218" s="11" t="s">
        <v>116</v>
      </c>
      <c r="I218" s="11" t="s">
        <v>41</v>
      </c>
      <c r="J218" s="11" t="s">
        <v>346</v>
      </c>
      <c r="K218" s="11" t="s">
        <v>347</v>
      </c>
      <c r="L218" s="11" t="s">
        <v>99</v>
      </c>
      <c r="M218" s="11" t="s">
        <v>150</v>
      </c>
      <c r="N218" s="11" t="s">
        <v>44</v>
      </c>
      <c r="O218" s="11" t="s">
        <v>70</v>
      </c>
      <c r="P218" s="11" t="s">
        <v>348</v>
      </c>
      <c r="Q218" s="11" t="s">
        <v>35</v>
      </c>
      <c r="R218" s="12" t="s">
        <v>349</v>
      </c>
      <c r="S218" s="11"/>
    </row>
    <row r="219" customFormat="false" ht="48" hidden="false" customHeight="true" outlineLevel="0" collapsed="false">
      <c r="A219" s="11" t="n">
        <v>50</v>
      </c>
      <c r="B219" s="11" t="s">
        <v>22</v>
      </c>
      <c r="C219" s="11" t="s">
        <v>343</v>
      </c>
      <c r="D219" s="11" t="s">
        <v>350</v>
      </c>
      <c r="E219" s="11" t="s">
        <v>38</v>
      </c>
      <c r="F219" s="11" t="s">
        <v>351</v>
      </c>
      <c r="G219" s="11" t="s">
        <v>65</v>
      </c>
      <c r="H219" s="11" t="s">
        <v>116</v>
      </c>
      <c r="I219" s="11" t="s">
        <v>41</v>
      </c>
      <c r="J219" s="11" t="s">
        <v>352</v>
      </c>
      <c r="K219" s="11" t="s">
        <v>353</v>
      </c>
      <c r="L219" s="11" t="s">
        <v>354</v>
      </c>
      <c r="M219" s="11" t="s">
        <v>60</v>
      </c>
      <c r="N219" s="11" t="s">
        <v>355</v>
      </c>
      <c r="O219" s="11" t="s">
        <v>70</v>
      </c>
      <c r="P219" s="11" t="s">
        <v>356</v>
      </c>
      <c r="Q219" s="11" t="s">
        <v>35</v>
      </c>
      <c r="R219" s="12" t="s">
        <v>357</v>
      </c>
      <c r="S219" s="11"/>
    </row>
    <row r="220" customFormat="false" ht="48" hidden="false" customHeight="true" outlineLevel="0" collapsed="false">
      <c r="A220" s="11" t="n">
        <v>51</v>
      </c>
      <c r="B220" s="11" t="s">
        <v>22</v>
      </c>
      <c r="C220" s="11" t="s">
        <v>343</v>
      </c>
      <c r="D220" s="11" t="s">
        <v>358</v>
      </c>
      <c r="E220" s="11" t="s">
        <v>38</v>
      </c>
      <c r="F220" s="11" t="s">
        <v>345</v>
      </c>
      <c r="G220" s="11" t="s">
        <v>65</v>
      </c>
      <c r="H220" s="11" t="s">
        <v>116</v>
      </c>
      <c r="I220" s="11" t="s">
        <v>41</v>
      </c>
      <c r="J220" s="11" t="s">
        <v>359</v>
      </c>
      <c r="K220" s="11" t="s">
        <v>360</v>
      </c>
      <c r="L220" s="11" t="s">
        <v>110</v>
      </c>
      <c r="M220" s="11" t="s">
        <v>60</v>
      </c>
      <c r="N220" s="11" t="s">
        <v>361</v>
      </c>
      <c r="O220" s="11" t="s">
        <v>70</v>
      </c>
      <c r="P220" s="11" t="s">
        <v>362</v>
      </c>
      <c r="Q220" s="11" t="s">
        <v>53</v>
      </c>
      <c r="R220" s="12" t="s">
        <v>363</v>
      </c>
      <c r="S220" s="11"/>
    </row>
    <row r="221" customFormat="false" ht="48" hidden="false" customHeight="true" outlineLevel="0" collapsed="false">
      <c r="A221" s="11" t="n">
        <v>52</v>
      </c>
      <c r="B221" s="11" t="s">
        <v>22</v>
      </c>
      <c r="C221" s="11" t="s">
        <v>343</v>
      </c>
      <c r="D221" s="11" t="s">
        <v>364</v>
      </c>
      <c r="E221" s="11" t="s">
        <v>26</v>
      </c>
      <c r="F221" s="11" t="s">
        <v>103</v>
      </c>
      <c r="G221" s="11" t="s">
        <v>56</v>
      </c>
      <c r="H221" s="11" t="s">
        <v>29</v>
      </c>
      <c r="I221" s="11" t="s">
        <v>30</v>
      </c>
      <c r="J221" s="11" t="s">
        <v>365</v>
      </c>
      <c r="K221" s="11"/>
      <c r="L221" s="11" t="s">
        <v>338</v>
      </c>
      <c r="M221" s="11" t="s">
        <v>60</v>
      </c>
      <c r="N221" s="11" t="s">
        <v>29</v>
      </c>
      <c r="O221" s="11" t="s">
        <v>70</v>
      </c>
      <c r="P221" s="11" t="s">
        <v>366</v>
      </c>
      <c r="Q221" s="11" t="s">
        <v>53</v>
      </c>
      <c r="R221" s="12" t="s">
        <v>105</v>
      </c>
      <c r="S221" s="11"/>
    </row>
    <row r="222" customFormat="false" ht="48" hidden="false" customHeight="true" outlineLevel="0" collapsed="false">
      <c r="A222" s="11" t="n">
        <v>53</v>
      </c>
      <c r="B222" s="11" t="s">
        <v>22</v>
      </c>
      <c r="C222" s="11" t="s">
        <v>343</v>
      </c>
      <c r="D222" s="11" t="s">
        <v>367</v>
      </c>
      <c r="E222" s="11" t="s">
        <v>38</v>
      </c>
      <c r="F222" s="11" t="s">
        <v>368</v>
      </c>
      <c r="G222" s="11" t="s">
        <v>39</v>
      </c>
      <c r="H222" s="11" t="s">
        <v>116</v>
      </c>
      <c r="I222" s="11" t="s">
        <v>41</v>
      </c>
      <c r="J222" s="11" t="s">
        <v>369</v>
      </c>
      <c r="K222" s="11" t="s">
        <v>370</v>
      </c>
      <c r="L222" s="11" t="s">
        <v>68</v>
      </c>
      <c r="M222" s="11" t="s">
        <v>33</v>
      </c>
      <c r="N222" s="11" t="s">
        <v>371</v>
      </c>
      <c r="O222" s="11" t="s">
        <v>70</v>
      </c>
      <c r="P222" s="11" t="s">
        <v>372</v>
      </c>
      <c r="Q222" s="11" t="s">
        <v>35</v>
      </c>
      <c r="R222" s="12" t="s">
        <v>373</v>
      </c>
      <c r="S222" s="12" t="s">
        <v>374</v>
      </c>
    </row>
    <row r="223" customFormat="false" ht="48" hidden="false" customHeight="true" outlineLevel="0" collapsed="false">
      <c r="A223" s="11" t="n">
        <v>54</v>
      </c>
      <c r="B223" s="11" t="s">
        <v>22</v>
      </c>
      <c r="C223" s="11" t="s">
        <v>343</v>
      </c>
      <c r="D223" s="11" t="s">
        <v>375</v>
      </c>
      <c r="E223" s="11" t="s">
        <v>38</v>
      </c>
      <c r="F223" s="11" t="s">
        <v>376</v>
      </c>
      <c r="G223" s="11" t="s">
        <v>274</v>
      </c>
      <c r="H223" s="11" t="s">
        <v>116</v>
      </c>
      <c r="I223" s="11" t="s">
        <v>41</v>
      </c>
      <c r="J223" s="11" t="s">
        <v>377</v>
      </c>
      <c r="K223" s="11"/>
      <c r="L223" s="11" t="s">
        <v>378</v>
      </c>
      <c r="M223" s="11" t="s">
        <v>33</v>
      </c>
      <c r="N223" s="11" t="s">
        <v>44</v>
      </c>
      <c r="O223" s="11" t="s">
        <v>70</v>
      </c>
      <c r="P223" s="11" t="s">
        <v>379</v>
      </c>
      <c r="Q223" s="11" t="s">
        <v>53</v>
      </c>
      <c r="R223" s="12" t="s">
        <v>380</v>
      </c>
      <c r="S223" s="12" t="s">
        <v>381</v>
      </c>
    </row>
    <row r="224" customFormat="false" ht="48" hidden="false" customHeight="true" outlineLevel="0" collapsed="false">
      <c r="A224" s="11" t="n">
        <v>55</v>
      </c>
      <c r="B224" s="11" t="s">
        <v>22</v>
      </c>
      <c r="C224" s="11" t="s">
        <v>343</v>
      </c>
      <c r="D224" s="11" t="s">
        <v>382</v>
      </c>
      <c r="E224" s="11" t="s">
        <v>26</v>
      </c>
      <c r="F224" s="11" t="s">
        <v>376</v>
      </c>
      <c r="G224" s="11" t="s">
        <v>274</v>
      </c>
      <c r="H224" s="11" t="s">
        <v>29</v>
      </c>
      <c r="I224" s="11" t="s">
        <v>30</v>
      </c>
      <c r="J224" s="11" t="s">
        <v>383</v>
      </c>
      <c r="K224" s="11"/>
      <c r="L224" s="11" t="s">
        <v>378</v>
      </c>
      <c r="M224" s="11" t="s">
        <v>33</v>
      </c>
      <c r="N224" s="11" t="s">
        <v>29</v>
      </c>
      <c r="O224" s="11" t="s">
        <v>70</v>
      </c>
      <c r="P224" s="11" t="s">
        <v>384</v>
      </c>
      <c r="Q224" s="11" t="s">
        <v>35</v>
      </c>
      <c r="R224" s="12" t="s">
        <v>282</v>
      </c>
      <c r="S224" s="12" t="s">
        <v>381</v>
      </c>
    </row>
    <row r="225" customFormat="false" ht="48" hidden="false" customHeight="true" outlineLevel="0" collapsed="false">
      <c r="A225" s="11" t="n">
        <v>56</v>
      </c>
      <c r="B225" s="11" t="s">
        <v>22</v>
      </c>
      <c r="C225" s="11" t="s">
        <v>343</v>
      </c>
      <c r="D225" s="11" t="s">
        <v>331</v>
      </c>
      <c r="E225" s="11" t="s">
        <v>38</v>
      </c>
      <c r="F225" s="11" t="s">
        <v>385</v>
      </c>
      <c r="G225" s="11" t="s">
        <v>65</v>
      </c>
      <c r="H225" s="11" t="s">
        <v>96</v>
      </c>
      <c r="I225" s="11" t="s">
        <v>41</v>
      </c>
      <c r="J225" s="11" t="s">
        <v>386</v>
      </c>
      <c r="K225" s="11"/>
      <c r="L225" s="11" t="s">
        <v>32</v>
      </c>
      <c r="M225" s="11" t="s">
        <v>33</v>
      </c>
      <c r="N225" s="11" t="s">
        <v>44</v>
      </c>
      <c r="O225" s="11" t="s">
        <v>70</v>
      </c>
      <c r="P225" s="11" t="s">
        <v>387</v>
      </c>
      <c r="Q225" s="11" t="s">
        <v>206</v>
      </c>
      <c r="R225" s="12" t="s">
        <v>388</v>
      </c>
      <c r="S225" s="11"/>
    </row>
    <row r="226" customFormat="false" ht="48" hidden="false" customHeight="true" outlineLevel="0" collapsed="false">
      <c r="A226" s="11" t="n">
        <v>57</v>
      </c>
      <c r="B226" s="11" t="s">
        <v>22</v>
      </c>
      <c r="C226" s="11" t="s">
        <v>343</v>
      </c>
      <c r="D226" s="11" t="s">
        <v>169</v>
      </c>
      <c r="E226" s="11" t="s">
        <v>38</v>
      </c>
      <c r="F226" s="11" t="s">
        <v>389</v>
      </c>
      <c r="G226" s="11" t="s">
        <v>212</v>
      </c>
      <c r="H226" s="11" t="s">
        <v>116</v>
      </c>
      <c r="I226" s="11" t="s">
        <v>41</v>
      </c>
      <c r="J226" s="11" t="s">
        <v>390</v>
      </c>
      <c r="K226" s="11"/>
      <c r="L226" s="11" t="s">
        <v>32</v>
      </c>
      <c r="M226" s="11" t="s">
        <v>150</v>
      </c>
      <c r="N226" s="11" t="s">
        <v>44</v>
      </c>
      <c r="O226" s="11" t="s">
        <v>70</v>
      </c>
      <c r="P226" s="11" t="s">
        <v>391</v>
      </c>
      <c r="Q226" s="11" t="s">
        <v>53</v>
      </c>
      <c r="R226" s="12" t="s">
        <v>392</v>
      </c>
      <c r="S226" s="11"/>
    </row>
    <row r="227" customFormat="false" ht="19.5" hidden="false" customHeight="true" outlineLevel="0" collapsed="false">
      <c r="A227" s="8"/>
      <c r="B227" s="8" t="s">
        <v>22</v>
      </c>
      <c r="C227" s="8" t="s">
        <v>343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customFormat="false" ht="19.5" hidden="false" customHeight="true" outlineLevel="0" collapsed="false">
      <c r="A228" s="8"/>
      <c r="B228" s="8" t="s">
        <v>22</v>
      </c>
      <c r="C228" s="8" t="s">
        <v>343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customFormat="false" ht="19.5" hidden="false" customHeight="true" outlineLevel="0" collapsed="false">
      <c r="A229" s="8"/>
      <c r="B229" s="8" t="s">
        <v>22</v>
      </c>
      <c r="C229" s="8" t="s">
        <v>343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customFormat="false" ht="19.5" hidden="false" customHeight="true" outlineLevel="0" collapsed="false">
      <c r="A230" s="8"/>
      <c r="B230" s="8" t="s">
        <v>22</v>
      </c>
      <c r="C230" s="8" t="s">
        <v>343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customFormat="false" ht="15" hidden="false" customHeight="false" outlineLevel="0" collapsed="false">
      <c r="A231" s="9" t="s">
        <v>23</v>
      </c>
      <c r="B231" s="10"/>
      <c r="C231" s="10"/>
      <c r="D231" s="10"/>
      <c r="E231" s="10"/>
      <c r="F231" s="10"/>
      <c r="G231" s="10"/>
      <c r="H231" s="10"/>
      <c r="I231" s="10"/>
      <c r="J231" s="9" t="str">
        <f aca="false">CONCATENATE("Погоджено: ",COUNTIF(O218:O230,"Погоджено"),"   ·   Межових: ",COUNTIF(O218:O230,"Межовий"),"   ·   Відкинуто: ",COUNTIF(O218:O230,"Відкинуто"))</f>
        <v>Погоджено: 0   ·   Межових: 0   ·   Відкинуто: 9</v>
      </c>
      <c r="K231" s="10"/>
      <c r="L231" s="10"/>
      <c r="M231" s="10"/>
      <c r="N231" s="10"/>
      <c r="O231" s="9" t="n">
        <f aca="false">COUNTIF(O218:O230,"Погоджено")</f>
        <v>0</v>
      </c>
      <c r="P231" s="10"/>
      <c r="Q231" s="10"/>
      <c r="R231" s="10"/>
      <c r="S231" s="10"/>
    </row>
  </sheetData>
  <autoFilter ref="A1:S232"/>
  <conditionalFormatting sqref="O2:O433">
    <cfRule type="cellIs" priority="2" operator="equal" aboveAverage="0" equalAverage="0" bottom="0" percent="0" rank="0" text="" dxfId="16">
      <formula>"Погоджено"</formula>
    </cfRule>
    <cfRule type="cellIs" priority="3" operator="equal" aboveAverage="0" equalAverage="0" bottom="0" percent="0" rank="0" text="" dxfId="17">
      <formula>"Межовий"</formula>
    </cfRule>
    <cfRule type="cellIs" priority="4" operator="equal" aboveAverage="0" equalAverage="0" bottom="0" percent="0" rank="0" text="" dxfId="18">
      <formula>"Відкинуто"</formula>
    </cfRule>
  </conditionalFormatting>
  <conditionalFormatting sqref="Q2:Q433">
    <cfRule type="cellIs" priority="5" operator="equal" aboveAverage="0" equalAverage="0" bottom="0" percent="0" rank="0" text="" dxfId="19">
      <formula>"Соцмережа / форум"</formula>
    </cfRule>
    <cfRule type="cellIs" priority="6" operator="equal" aboveAverage="0" equalAverage="0" bottom="0" percent="0" rank="0" text="" dxfId="19">
      <formula>"Джерело відсутнє"</formula>
    </cfRule>
  </conditionalFormatting>
  <dataValidations count="7">
    <dataValidation allowBlank="true" errorStyle="stop" operator="between" prompt="Точність дати" promptTitle="Значення зі списку" showDropDown="false" showErrorMessage="false" showInputMessage="false" sqref="E2:E433" type="list">
      <formula1>"Точна,Місяць,Період,Н/д"</formula1>
      <formula2>0</formula2>
    </dataValidation>
    <dataValidation allowBlank="true" errorStyle="stop" operator="between" prompt="Хвиля" promptTitle="Значення зі списку" showDropDown="false" showErrorMessage="false" showInputMessage="false" sqref="G2:G433" type="list">
      <formula1>"Забій худоби,Блокування інтернету,Утильзбір і податки,Муніципальна реформа,Мобілізація і війна,Тарифи й комуналка,Обмеження права на протест,Поза хвилями"</formula1>
      <formula2>0</formula2>
    </dataValidation>
    <dataValidation allowBlank="true" errorStyle="stop" operator="between" prompt="Форма акції" promptTitle="Значення зі списку" showDropDown="false" showErrorMessage="false" showInputMessage="false" sqref="H2:H433" type="list">
      <formula1>"Мітинг,Одиночний пікет,Груповий пікет,Перекриття дороги,Колективне звернення,Колективний позов,Відмова в узгодженні,Затримання / штраф,Страйк / голодування,Інше"</formula1>
      <formula2>0</formula2>
    </dataValidation>
    <dataValidation allowBlank="true" errorStyle="stop" operator="between" prompt="Чи відбулася акція" promptTitle="Значення зі списку" showDropDown="false" showErrorMessage="false" showInputMessage="false" sqref="I2:I433" type="list">
      <formula1>"Так,Ні — заборонено,Ні — лише заявка,Н/д"</formula1>
      <formula2>0</formula2>
    </dataValidation>
    <dataValidation allowBlank="true" errorStyle="stop" operator="between" prompt="Адресат протесту" promptTitle="Значення зі списку" showDropDown="false" showErrorMessage="false" showInputMessage="false" sqref="M2:M433" type="list">
      <formula1>"Федеральний,Регіональний,Місцевий,Роботодавець,Іноземна держава,Змішаний"</formula1>
      <formula2>0</formula2>
    </dataValidation>
    <dataValidation allowBlank="true" errorStyle="stop" operator="between" prompt="Погоджено / Межовий / Відкинуто" promptTitle="Значення зі списку" showDropDown="false" showErrorMessage="false" showInputMessage="false" sqref="O2:O433" type="list">
      <formula1>"Погоджено,Межовий,Відкинуто"</formula1>
      <formula2>0</formula2>
    </dataValidation>
    <dataValidation allowBlank="true" errorStyle="stop" operator="between" prompt="Тип джерела (за Джерелом 1)" promptTitle="Значення зі списку" showDropDown="false" showErrorMessage="false" showInputMessage="false" sqref="Q2:Q433" type="list">
      <formula1>"Незалежне медіа,Регіональне медіа,Партійне / громадське,Державне,Соцмережа / форум,Довідкове (вікі),Telegram-корпус,Джерело відсутнє"</formula1>
      <formula2>0</formula2>
    </dataValidation>
  </dataValidations>
  <hyperlinks>
    <hyperlink ref="R11" r:id="rId1" display="https://novayagazeta.ru/articles/2026/03/10/poshli-v-otkaz"/>
    <hyperlink ref="R12" r:id="rId2" display="https://semnasem.org/news/2026/04/21/dva-rajona-altajskogo-kraya-vystupili-protiv-unichtozheniya-selsovetov-polgoda-nazad-gubernator-podderzhal-ih-sohranenie-no-deputatov-snova-oprashivayut"/>
    <hyperlink ref="S12" r:id="rId3" display="https://semnasem.org/news/2026/05/12/altajskij-chinovnik-obyasnil-unichtozhenie-selsovetov-zakonom-spisannym-u-nedruzhestvennyh-stran"/>
    <hyperlink ref="R13" r:id="rId4" display="https://tolknews.ru/obsestvo/216175-sotsialisti-viskazalis-protiv-munitsipalnoy-reformi-v-altayskom-krae"/>
    <hyperlink ref="R14" r:id="rId5" display="https://www.bankfax.ru/news/167162/"/>
    <hyperlink ref="R15" r:id="rId6" display="http://habitora.ru/news/zhiteli-barnaula-vyydut-na-piket-15-2026-08-15"/>
    <hyperlink ref="R23" r:id="rId7" display="https://risk-inform.com/article_11907.html"/>
    <hyperlink ref="R24" r:id="rId8" display="https://risk-inform.com/article_11907.html"/>
    <hyperlink ref="R32" r:id="rId9" display="https://zona.media/news/2026/07/10/abakan"/>
    <hyperlink ref="R33" r:id="rId10" display="https://semnasem.org/news/2026/08/10/policejskie-v-hakasii-zaderzhala-za-piket-mat-mobilizovannogo-i-ugrozhali-ej-psihdispanserom"/>
    <hyperlink ref="S33" r:id="rId11" display="https://echofm.online/news/v-hakasii-policziya-zaderzhala-vyshedshuyu-v-piket-mat-mobilizovannogo-ej-ugrozhali-psihiatricheskoj-bolniczej-i-tyurmoj"/>
    <hyperlink ref="R41" r:id="rId12" display="https://tvknews.ru/publications/news/84663/"/>
    <hyperlink ref="R49" r:id="rId13" display="https://novayagazeta.ru/articles/2026/03/10/poshli-v-otkaz"/>
    <hyperlink ref="R50" r:id="rId14" display="https://baikal-journal.ru/2026/04/07/piket-protiv-blokirovok-proshel-v-irkutske/"/>
    <hyperlink ref="R51" r:id="rId15" display="https://baikal-journal.ru/2026/04/24/miting-protiv-usypleniya-bezdomnyh-zhivotnyh-soglasovali-irkutske/"/>
    <hyperlink ref="R52" r:id="rId16" display="https://ircity.ru/text/animals/2026/06/25/76498612/"/>
    <hyperlink ref="R53" r:id="rId17" display="https://t.me/irk01/25142"/>
    <hyperlink ref="R54" r:id="rId18" display="https://vestiirk.ru/news/piket-u-paroma-zavershilsia-razbiratelstvom-v-politsii/"/>
    <hyperlink ref="S54" r:id="rId19" display="https://meduza.io/feature/2026/07/29/zhiteli-ostrova-olhon-na-baykale-mogut-dobratsya-do-materika-tolko-na-parome-nedavno-ih-otkazalis-propuskat-bez-ocheredi-v-obhod-turistov"/>
    <hyperlink ref="R62" r:id="rId20" display="https://ngs42.ru/text/job/2026/05/26/76441281/"/>
    <hyperlink ref="R70" r:id="rId21" display="https://meduza.io/feature/2026/03/18/sibirskie-fermery-prodolzhayut-protestovat-protiv-zaboya-domashnego-skota"/>
    <hyperlink ref="S70" r:id="rId22" display="https://ru.wikipedia.org/wiki/%D0%9C%D0%B0%D1%81%D1%81%D0%BE%D0%B2%D1%8B%D0%B9_%D0%B7%D0%B0%D0%B1%D0%BE%D0%B9_%D1%81%D0%BA%D0%BE%D1%82%D0%B0_%D0%B2_%D0%A0%D0%BE%D1%81%D1%81%D0%B8%D0%B8_(2026)"/>
    <hyperlink ref="R71" r:id="rId23" display="https://ru.wikipedia.org/wiki/%D0%9C%D0%B0%D1%81%D1%81%D0%BE%D0%B2%D1%8B%D0%B9_%D0%B7%D0%B0%D0%B1%D0%BE%D0%B9_%D1%81%D0%BA%D0%BE%D1%82%D0%B0_%D0%B2_%D0%A0%D0%BE%D1%81%D1%81%D0%B8%D0%B8_(2026)"/>
    <hyperlink ref="S71" r:id="rId24" display="https://www.currenttime.tv/a/novosibirskoy-oblasti-fermery-protestuyut-protiv-zaboya-skota/33710065.html"/>
    <hyperlink ref="R72" r:id="rId25" display="https://www.yaplakal.com/forum2/topic3055342.html"/>
    <hyperlink ref="R73" r:id="rId26" display="https://ru.wikipedia.org/wiki/%D0%9C%D0%B0%D1%81%D1%81%D0%BE%D0%B2%D1%8B%D0%B9_%D0%B7%D0%B0%D0%B1%D0%BE%D0%B9_%D1%81%D0%BA%D0%BE%D1%82%D0%B0_%D0%B2_%D0%A0%D0%BE%D1%81%D1%81%D0%B8%D0%B8_(2026)"/>
    <hyperlink ref="S73" r:id="rId27" display="https://meduza.io/feature/2026/03/18/sibirskie-fermery-prodolzhayut-protestovat-protiv-zaboya-domashnego-skota"/>
    <hyperlink ref="R74" r:id="rId28" display="https://ru.wikipedia.org/wiki/%D0%9C%D0%B0%D1%81%D1%81%D0%BE%D0%B2%D1%8B%D0%B9_%D0%B7%D0%B0%D0%B1%D0%BE%D0%B9_%D1%81%D0%BA%D0%BE%D1%82%D0%B0_%D0%B2_%D0%A0%D0%BE%D1%81%D1%81%D0%B8%D0%B8_(2026)"/>
    <hyperlink ref="R75" r:id="rId29" display="https://ru.wikipedia.org/wiki/%D0%9C%D0%B0%D1%81%D1%81%D0%BE%D0%B2%D1%8B%D0%B9_%D0%B7%D0%B0%D0%B1%D0%BE%D0%B9_%D1%81%D0%BA%D0%BE%D1%82%D0%B0_%D0%B2_%D0%A0%D0%BE%D1%81%D1%81%D0%B8%D0%B8_(2026)"/>
    <hyperlink ref="R76" r:id="rId30" display="https://novayagazeta.ru/articles/2026/03/10/poshli-v-otkaz"/>
    <hyperlink ref="S76" r:id="rId31" display="https://ru.wikipedia.org/wiki/%D0%91%D0%BB%D0%BE%D0%BA%D0%B8%D1%80%D0%BE%D0%B2%D0%BA%D0%B0_Telegram_%D0%B2_%D0%A0%D0%BE%D1%81%D1%81%D0%B8%D0%B8_(2026)"/>
    <hyperlink ref="R77" r:id="rId32" display="https://novayagazeta.eu/articles/2026/03/30/strim-kotoryi-sochli-mitingom"/>
    <hyperlink ref="R78" r:id="rId33" display="https://kedr.media/news/novosibirskie-fermery-podali-isk-protiv-vlastej-iz-za-massovogo-izyatiya-skota/"/>
    <hyperlink ref="S78" r:id="rId34" display="https://novayagazeta.ru/articles/2026/07/30/obyknovennoe-skotstvo"/>
    <hyperlink ref="R79" r:id="rId35" display="https://t.me/nsk_smi/31348"/>
    <hyperlink ref="R80" r:id="rId36" display="https://xn--54-1lclv.xn--p1ai/news/novosibirsk-miting-sohranim-kulturnoe-nasledie-zashhitim-stranu-07-08-26/"/>
    <hyperlink ref="S80" r:id="rId37" display="https://t.me/nsk_smi/31724"/>
    <hyperlink ref="R88" r:id="rId38" display="https://ngs55.ru/text/house/2026/01/27/76235217/"/>
    <hyperlink ref="R89" r:id="rId39" display="https://rutube.ru/video/de2e0e058256883dee0063b95b0863a3/"/>
    <hyperlink ref="R97" r:id="rId40" display="https://runews24.ru/tomsk/20/01/2026/v-tomskoj-oblasti-otmenili-piket-protiv-czenzuryi-v-internete"/>
    <hyperlink ref="R105" r:id="rId41" display="https://rtvi.com/news/v-buryatii-kommunisty-anonsirovali-miting-protiv-blokirovok/"/>
    <hyperlink ref="R107" r:id="rId42" display="https://kprf.ru/party-live/regnews/243547.html"/>
    <hyperlink ref="R108" r:id="rId43" display="https://kprf.ru/party-live/regnews/246087.html"/>
    <hyperlink ref="R116" r:id="rId44" display="https://14.ru/text/gorod/2026/03/26/76331005/"/>
    <hyperlink ref="R117" r:id="rId45" display="https://baikal-journal.ru/2026/08/14/kprf-v-yakutske-popytalas-provesti-miting-a-meriya-snova-otkazala-pod-predlogom-tehnicheskih-rabot-na-pustoj-ploshhadi/"/>
    <hyperlink ref="R125" r:id="rId46" display="https://www.chita.ru/text/education/2026/05/28/76444206/"/>
    <hyperlink ref="R133" r:id="rId47" display="https://komros.info/regions/edge/kamchatka-krai/news/news_11253.html"/>
    <hyperlink ref="R141" r:id="rId48" display="https://vladivostok1.ru/text/politics/2026/02/17/76268194/"/>
    <hyperlink ref="R142" r:id="rId49" display="https://novayagazeta.ru/articles/2026/03/10/poshli-v-otkaz"/>
    <hyperlink ref="R143" r:id="rId50" display="https://semnasem.org/news/2026/05/10/pravitelstvo-primorya-otkazalos-dobavit-po-prosbe-kommunista-eshe-odno-mesto-dlya-mitingov-vo-vladivostoke"/>
    <hyperlink ref="S143" r:id="rId51" display="https://nemoskva.net/2025/11/11/miting-protiv-utilsbora-snova-otmenen-vladivostok-zakryt-na-remont-do-2026-goda/"/>
    <hyperlink ref="R144" r:id="rId52" display="https://t.me/ussur_mikh_kray/37774"/>
    <hyperlink ref="R152" r:id="rId53" display="https://novayagazeta.ru/articles/2026/03/10/poshli-v-otkaz"/>
    <hyperlink ref="R153" r:id="rId54" display="https://novayagazeta.eu/articles/2026/04/12/sotni-kitaiskikh-rabochikh-vyshli-na-protest-v-khabarovskom-krae-iz-za-nevyplaty-zarplat-news"/>
    <hyperlink ref="S153" r:id="rId55" display="https://novayagazeta.ru/articles/2026/04/13/krestnyi-khod-za-dengami"/>
    <hyperlink ref="R161" r:id="rId56" display="https://m.vk.ru/wall-6283450_229285"/>
    <hyperlink ref="R177" r:id="rId57" display="https://sakh.online/news/24/2026-07-30/v-yuzhno-sahalinske-proshel-miting-protiv-yaponskogo-diplomata-iz-za-shpionazha-i-detskoy-pornografii-520736"/>
    <hyperlink ref="R185" r:id="rId58" display="https://gazeta-pravda.ru/issue/86-31867-1112-avgusta-2026-goda/zashchitniki-v-setyakh-kryuchkotvorstva/"/>
    <hyperlink ref="S185" r:id="rId59" display="https://t.me/nabatnews_tg/6507"/>
    <hyperlink ref="R201" r:id="rId60" display="https://ura.news/news/1053067491"/>
    <hyperlink ref="R202" r:id="rId61" display="https://hmao.ldpr.ru/event/odinochnyy-piket-v-nizhnevartovske-gde-ekologiya-gde-novyy-poligon-/"/>
    <hyperlink ref="R218" r:id="rId62" display="https://www.sibreal.org/a/29288539.html"/>
    <hyperlink ref="R219" r:id="rId63" display="https://www.sibreal.org/a/30189408.html"/>
    <hyperlink ref="R220" r:id="rId64" display="https://yakutia.info/article/212800"/>
    <hyperlink ref="R221" r:id="rId65" display="https://tvknews.ru/publications/news/84663/"/>
    <hyperlink ref="R222" r:id="rId66" display="https://www.svoboda.org/a/altay-protestuet-protiv-unichtozheniya-sistemy-samoupravleniya/33453220.html"/>
    <hyperlink ref="S222" r:id="rId67" display="https://meduza.io/feature/2025/08/27/lyudi-ischut-dengi-na-benzin-gotovyat-transport-risuyut-plakaty"/>
    <hyperlink ref="R223" r:id="rId68" display="https://primamedia.ru/news/2254615/"/>
    <hyperlink ref="S223" r:id="rId69" display="https://novayagazeta.eu/articles/2025/11/20/toioty-russkoi-zimy"/>
    <hyperlink ref="R224" r:id="rId70" display="https://nemoskva.net/2025/11/11/miting-protiv-utilsbora-snova-otmenen-vladivostok-zakryt-na-remont-do-2026-goda/"/>
    <hyperlink ref="S224" r:id="rId71" display="https://novayagazeta.eu/articles/2025/11/20/toioty-russkoi-zimy"/>
    <hyperlink ref="R225" r:id="rId72" display="https://kprf-saratov.ru/2026/02/balakovo-odinochnye-pikety-v-podderzhku-altajskih-tovarishhej/"/>
    <hyperlink ref="R226" r:id="rId73" display="http://reporters.live/news/v-tjumeni-proshel-soglasovannyj-miting-protiv-rosta-tarifov-zhkh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5"/>
  </cols>
  <sheetData>
    <row r="1" customFormat="false" ht="15" hidden="false" customHeight="false" outlineLevel="0" collapsed="false">
      <c r="A1" s="2" t="s">
        <v>2</v>
      </c>
      <c r="B1" s="2" t="s">
        <v>1</v>
      </c>
      <c r="C1" s="2" t="s">
        <v>393</v>
      </c>
      <c r="D1" s="2" t="s">
        <v>394</v>
      </c>
      <c r="E1" s="2" t="s">
        <v>70</v>
      </c>
      <c r="F1" s="2" t="s">
        <v>395</v>
      </c>
    </row>
    <row r="2" customFormat="false" ht="15" hidden="false" customHeight="false" outlineLevel="0" collapsed="false">
      <c r="A2" s="6" t="s">
        <v>19</v>
      </c>
      <c r="B2" s="6" t="s">
        <v>20</v>
      </c>
      <c r="C2" s="13" t="n">
        <f aca="false">COUNTIFS(Події!$C$2:$C$233,$A2,Події!$O$2:$O$233,"Погоджено")</f>
        <v>0</v>
      </c>
      <c r="D2" s="13" t="n">
        <f aca="false">COUNTIFS(Події!$C$2:$C$233,$A2,Події!$O$2:$O$233,"Межовий")</f>
        <v>0</v>
      </c>
      <c r="E2" s="13" t="n">
        <f aca="false">COUNTIFS(Події!$C$2:$C$233,$A2,Події!$O$2:$O$233,"Відкинуто")</f>
        <v>0</v>
      </c>
      <c r="F2" s="13" t="n">
        <f aca="false">SUM(C2:E2)</f>
        <v>0</v>
      </c>
    </row>
    <row r="3" customFormat="false" ht="15" hidden="false" customHeight="false" outlineLevel="0" collapsed="false">
      <c r="A3" s="6" t="s">
        <v>24</v>
      </c>
      <c r="B3" s="6" t="s">
        <v>20</v>
      </c>
      <c r="C3" s="13" t="n">
        <f aca="false">COUNTIFS(Події!$C$2:$C$233,$A3,Події!$O$2:$O$233,"Погоджено")</f>
        <v>2</v>
      </c>
      <c r="D3" s="13" t="n">
        <f aca="false">COUNTIFS(Події!$C$2:$C$233,$A3,Події!$O$2:$O$233,"Межовий")</f>
        <v>2</v>
      </c>
      <c r="E3" s="13" t="n">
        <f aca="false">COUNTIFS(Події!$C$2:$C$233,$A3,Події!$O$2:$O$233,"Відкинуто")</f>
        <v>1</v>
      </c>
      <c r="F3" s="13" t="n">
        <f aca="false">SUM(C3:E3)</f>
        <v>5</v>
      </c>
    </row>
    <row r="4" customFormat="false" ht="15" hidden="false" customHeight="false" outlineLevel="0" collapsed="false">
      <c r="A4" s="6" t="s">
        <v>73</v>
      </c>
      <c r="B4" s="6" t="s">
        <v>20</v>
      </c>
      <c r="C4" s="13" t="n">
        <f aca="false">COUNTIFS(Події!$C$2:$C$233,$A4,Події!$O$2:$O$233,"Погоджено")</f>
        <v>0</v>
      </c>
      <c r="D4" s="13" t="n">
        <f aca="false">COUNTIFS(Події!$C$2:$C$233,$A4,Події!$O$2:$O$233,"Межовий")</f>
        <v>0</v>
      </c>
      <c r="E4" s="13" t="n">
        <f aca="false">COUNTIFS(Події!$C$2:$C$233,$A4,Події!$O$2:$O$233,"Відкинуто")</f>
        <v>2</v>
      </c>
      <c r="F4" s="13" t="n">
        <f aca="false">SUM(C4:E4)</f>
        <v>2</v>
      </c>
    </row>
    <row r="5" customFormat="false" ht="15" hidden="false" customHeight="false" outlineLevel="0" collapsed="false">
      <c r="A5" s="6" t="s">
        <v>84</v>
      </c>
      <c r="B5" s="6" t="s">
        <v>20</v>
      </c>
      <c r="C5" s="13" t="n">
        <f aca="false">COUNTIFS(Події!$C$2:$C$233,$A5,Події!$O$2:$O$233,"Погоджено")</f>
        <v>1</v>
      </c>
      <c r="D5" s="13" t="n">
        <f aca="false">COUNTIFS(Події!$C$2:$C$233,$A5,Події!$O$2:$O$233,"Межовий")</f>
        <v>0</v>
      </c>
      <c r="E5" s="13" t="n">
        <f aca="false">COUNTIFS(Події!$C$2:$C$233,$A5,Події!$O$2:$O$233,"Відкинуто")</f>
        <v>1</v>
      </c>
      <c r="F5" s="13" t="n">
        <f aca="false">SUM(C5:E5)</f>
        <v>2</v>
      </c>
    </row>
    <row r="6" customFormat="false" ht="15" hidden="false" customHeight="false" outlineLevel="0" collapsed="false">
      <c r="A6" s="6" t="s">
        <v>103</v>
      </c>
      <c r="B6" s="6" t="s">
        <v>20</v>
      </c>
      <c r="C6" s="13" t="n">
        <f aca="false">COUNTIFS(Події!$C$2:$C$233,$A6,Події!$O$2:$O$233,"Погоджено")</f>
        <v>0</v>
      </c>
      <c r="D6" s="13" t="n">
        <f aca="false">COUNTIFS(Події!$C$2:$C$233,$A6,Події!$O$2:$O$233,"Межовий")</f>
        <v>0</v>
      </c>
      <c r="E6" s="13" t="n">
        <f aca="false">COUNTIFS(Події!$C$2:$C$233,$A6,Події!$O$2:$O$233,"Відкинуто")</f>
        <v>0</v>
      </c>
      <c r="F6" s="13" t="n">
        <f aca="false">SUM(C6:E6)</f>
        <v>0</v>
      </c>
    </row>
    <row r="7" customFormat="false" ht="15" hidden="false" customHeight="false" outlineLevel="0" collapsed="false">
      <c r="A7" s="6" t="s">
        <v>106</v>
      </c>
      <c r="B7" s="6" t="s">
        <v>20</v>
      </c>
      <c r="C7" s="13" t="n">
        <f aca="false">COUNTIFS(Події!$C$2:$C$233,$A7,Події!$O$2:$O$233,"Погоджено")</f>
        <v>3</v>
      </c>
      <c r="D7" s="13" t="n">
        <f aca="false">COUNTIFS(Події!$C$2:$C$233,$A7,Події!$O$2:$O$233,"Межовий")</f>
        <v>0</v>
      </c>
      <c r="E7" s="13" t="n">
        <f aca="false">COUNTIFS(Події!$C$2:$C$233,$A7,Події!$O$2:$O$233,"Відкинуто")</f>
        <v>3</v>
      </c>
      <c r="F7" s="13" t="n">
        <f aca="false">SUM(C7:E7)</f>
        <v>6</v>
      </c>
    </row>
    <row r="8" customFormat="false" ht="15" hidden="false" customHeight="false" outlineLevel="0" collapsed="false">
      <c r="A8" s="6" t="s">
        <v>142</v>
      </c>
      <c r="B8" s="6" t="s">
        <v>20</v>
      </c>
      <c r="C8" s="13" t="n">
        <f aca="false">COUNTIFS(Події!$C$2:$C$233,$A8,Події!$O$2:$O$233,"Погоджено")</f>
        <v>0</v>
      </c>
      <c r="D8" s="13" t="n">
        <f aca="false">COUNTIFS(Події!$C$2:$C$233,$A8,Події!$O$2:$O$233,"Межовий")</f>
        <v>0</v>
      </c>
      <c r="E8" s="13" t="n">
        <f aca="false">COUNTIFS(Події!$C$2:$C$233,$A8,Події!$O$2:$O$233,"Відкинуто")</f>
        <v>0</v>
      </c>
      <c r="F8" s="13" t="n">
        <f aca="false">SUM(C8:E8)</f>
        <v>0</v>
      </c>
    </row>
    <row r="9" customFormat="false" ht="15" hidden="false" customHeight="false" outlineLevel="0" collapsed="false">
      <c r="A9" s="6" t="s">
        <v>145</v>
      </c>
      <c r="B9" s="6" t="s">
        <v>20</v>
      </c>
      <c r="C9" s="13" t="n">
        <f aca="false">COUNTIFS(Події!$C$2:$C$233,$A9,Події!$O$2:$O$233,"Погоджено")</f>
        <v>11</v>
      </c>
      <c r="D9" s="13" t="n">
        <f aca="false">COUNTIFS(Події!$C$2:$C$233,$A9,Події!$O$2:$O$233,"Межовий")</f>
        <v>0</v>
      </c>
      <c r="E9" s="13" t="n">
        <f aca="false">COUNTIFS(Події!$C$2:$C$233,$A9,Події!$O$2:$O$233,"Відкинуто")</f>
        <v>0</v>
      </c>
      <c r="F9" s="13" t="n">
        <f aca="false">SUM(C9:E9)</f>
        <v>11</v>
      </c>
    </row>
    <row r="10" customFormat="false" ht="15" hidden="false" customHeight="false" outlineLevel="0" collapsed="false">
      <c r="A10" s="6" t="s">
        <v>209</v>
      </c>
      <c r="B10" s="6" t="s">
        <v>20</v>
      </c>
      <c r="C10" s="13" t="n">
        <f aca="false">COUNTIFS(Події!$C$2:$C$233,$A10,Події!$O$2:$O$233,"Погоджено")</f>
        <v>0</v>
      </c>
      <c r="D10" s="13" t="n">
        <f aca="false">COUNTIFS(Події!$C$2:$C$233,$A10,Події!$O$2:$O$233,"Межовий")</f>
        <v>0</v>
      </c>
      <c r="E10" s="13" t="n">
        <f aca="false">COUNTIFS(Події!$C$2:$C$233,$A10,Події!$O$2:$O$233,"Відкинуто")</f>
        <v>2</v>
      </c>
      <c r="F10" s="13" t="n">
        <f aca="false">SUM(C10:E10)</f>
        <v>2</v>
      </c>
    </row>
    <row r="11" customFormat="false" ht="15" hidden="false" customHeight="false" outlineLevel="0" collapsed="false">
      <c r="A11" s="6" t="s">
        <v>222</v>
      </c>
      <c r="B11" s="6" t="s">
        <v>20</v>
      </c>
      <c r="C11" s="13" t="n">
        <f aca="false">COUNTIFS(Події!$C$2:$C$233,$A11,Події!$O$2:$O$233,"Погоджено")</f>
        <v>1</v>
      </c>
      <c r="D11" s="13" t="n">
        <f aca="false">COUNTIFS(Події!$C$2:$C$233,$A11,Події!$O$2:$O$233,"Межовий")</f>
        <v>0</v>
      </c>
      <c r="E11" s="13" t="n">
        <f aca="false">COUNTIFS(Події!$C$2:$C$233,$A11,Події!$O$2:$O$233,"Відкинуто")</f>
        <v>0</v>
      </c>
      <c r="F11" s="13" t="n">
        <f aca="false">SUM(C11:E11)</f>
        <v>1</v>
      </c>
    </row>
    <row r="12" customFormat="false" ht="15" hidden="false" customHeight="false" outlineLevel="0" collapsed="false">
      <c r="A12" s="6" t="s">
        <v>227</v>
      </c>
      <c r="B12" s="6" t="s">
        <v>228</v>
      </c>
      <c r="C12" s="13" t="n">
        <f aca="false">COUNTIFS(Події!$C$2:$C$233,$A12,Події!$O$2:$O$233,"Погоджено")</f>
        <v>3</v>
      </c>
      <c r="D12" s="13" t="n">
        <f aca="false">COUNTIFS(Події!$C$2:$C$233,$A12,Події!$O$2:$O$233,"Межовий")</f>
        <v>0</v>
      </c>
      <c r="E12" s="13" t="n">
        <f aca="false">COUNTIFS(Події!$C$2:$C$233,$A12,Події!$O$2:$O$233,"Відкинуто")</f>
        <v>1</v>
      </c>
      <c r="F12" s="13" t="n">
        <f aca="false">SUM(C12:E12)</f>
        <v>4</v>
      </c>
    </row>
    <row r="13" customFormat="false" ht="15" hidden="false" customHeight="false" outlineLevel="0" collapsed="false">
      <c r="A13" s="6" t="s">
        <v>247</v>
      </c>
      <c r="B13" s="6" t="s">
        <v>228</v>
      </c>
      <c r="C13" s="13" t="n">
        <f aca="false">COUNTIFS(Події!$C$2:$C$233,$A13,Події!$O$2:$O$233,"Погоджено")</f>
        <v>2</v>
      </c>
      <c r="D13" s="13" t="n">
        <f aca="false">COUNTIFS(Події!$C$2:$C$233,$A13,Події!$O$2:$O$233,"Межовий")</f>
        <v>0</v>
      </c>
      <c r="E13" s="13" t="n">
        <f aca="false">COUNTIFS(Події!$C$2:$C$233,$A13,Події!$O$2:$O$233,"Відкинуто")</f>
        <v>0</v>
      </c>
      <c r="F13" s="13" t="n">
        <f aca="false">SUM(C13:E13)</f>
        <v>2</v>
      </c>
    </row>
    <row r="14" customFormat="false" ht="15" hidden="false" customHeight="false" outlineLevel="0" collapsed="false">
      <c r="A14" s="6" t="s">
        <v>258</v>
      </c>
      <c r="B14" s="6" t="s">
        <v>228</v>
      </c>
      <c r="C14" s="13" t="n">
        <f aca="false">COUNTIFS(Події!$C$2:$C$233,$A14,Події!$O$2:$O$233,"Погоджено")</f>
        <v>1</v>
      </c>
      <c r="D14" s="13" t="n">
        <f aca="false">COUNTIFS(Події!$C$2:$C$233,$A14,Події!$O$2:$O$233,"Межовий")</f>
        <v>0</v>
      </c>
      <c r="E14" s="13" t="n">
        <f aca="false">COUNTIFS(Події!$C$2:$C$233,$A14,Події!$O$2:$O$233,"Відкинуто")</f>
        <v>0</v>
      </c>
      <c r="F14" s="13" t="n">
        <f aca="false">SUM(C14:E14)</f>
        <v>1</v>
      </c>
    </row>
    <row r="15" customFormat="false" ht="15" hidden="false" customHeight="false" outlineLevel="0" collapsed="false">
      <c r="A15" s="6" t="s">
        <v>265</v>
      </c>
      <c r="B15" s="6" t="s">
        <v>228</v>
      </c>
      <c r="C15" s="13" t="n">
        <f aca="false">COUNTIFS(Події!$C$2:$C$233,$A15,Події!$O$2:$O$233,"Погоджено")</f>
        <v>1</v>
      </c>
      <c r="D15" s="13" t="n">
        <f aca="false">COUNTIFS(Події!$C$2:$C$233,$A15,Події!$O$2:$O$233,"Межовий")</f>
        <v>0</v>
      </c>
      <c r="E15" s="13" t="n">
        <f aca="false">COUNTIFS(Події!$C$2:$C$233,$A15,Події!$O$2:$O$233,"Відкинуто")</f>
        <v>0</v>
      </c>
      <c r="F15" s="13" t="n">
        <f aca="false">SUM(C15:E15)</f>
        <v>1</v>
      </c>
    </row>
    <row r="16" customFormat="false" ht="15" hidden="false" customHeight="false" outlineLevel="0" collapsed="false">
      <c r="A16" s="6" t="s">
        <v>271</v>
      </c>
      <c r="B16" s="6" t="s">
        <v>228</v>
      </c>
      <c r="C16" s="13" t="n">
        <f aca="false">COUNTIFS(Події!$C$2:$C$233,$A16,Події!$O$2:$O$233,"Погоджено")</f>
        <v>4</v>
      </c>
      <c r="D16" s="13" t="n">
        <f aca="false">COUNTIFS(Події!$C$2:$C$233,$A16,Події!$O$2:$O$233,"Межовий")</f>
        <v>0</v>
      </c>
      <c r="E16" s="13" t="n">
        <f aca="false">COUNTIFS(Події!$C$2:$C$233,$A16,Події!$O$2:$O$233,"Відкинуто")</f>
        <v>0</v>
      </c>
      <c r="F16" s="13" t="n">
        <f aca="false">SUM(C16:E16)</f>
        <v>4</v>
      </c>
    </row>
    <row r="17" customFormat="false" ht="15" hidden="false" customHeight="false" outlineLevel="0" collapsed="false">
      <c r="A17" s="6" t="s">
        <v>288</v>
      </c>
      <c r="B17" s="6" t="s">
        <v>228</v>
      </c>
      <c r="C17" s="13" t="n">
        <f aca="false">COUNTIFS(Події!$C$2:$C$233,$A17,Події!$O$2:$O$233,"Погоджено")</f>
        <v>1</v>
      </c>
      <c r="D17" s="13" t="n">
        <f aca="false">COUNTIFS(Події!$C$2:$C$233,$A17,Події!$O$2:$O$233,"Межовий")</f>
        <v>0</v>
      </c>
      <c r="E17" s="13" t="n">
        <f aca="false">COUNTIFS(Події!$C$2:$C$233,$A17,Події!$O$2:$O$233,"Відкинуто")</f>
        <v>1</v>
      </c>
      <c r="F17" s="13" t="n">
        <f aca="false">SUM(C17:E17)</f>
        <v>2</v>
      </c>
    </row>
    <row r="18" customFormat="false" ht="15" hidden="false" customHeight="false" outlineLevel="0" collapsed="false">
      <c r="A18" s="6" t="s">
        <v>302</v>
      </c>
      <c r="B18" s="6" t="s">
        <v>228</v>
      </c>
      <c r="C18" s="13" t="n">
        <f aca="false">COUNTIFS(Події!$C$2:$C$233,$A18,Події!$O$2:$O$233,"Погоджено")</f>
        <v>0</v>
      </c>
      <c r="D18" s="13" t="n">
        <f aca="false">COUNTIFS(Події!$C$2:$C$233,$A18,Події!$O$2:$O$233,"Межовий")</f>
        <v>0</v>
      </c>
      <c r="E18" s="13" t="n">
        <f aca="false">COUNTIFS(Події!$C$2:$C$233,$A18,Події!$O$2:$O$233,"Відкинуто")</f>
        <v>1</v>
      </c>
      <c r="F18" s="13" t="n">
        <f aca="false">SUM(C18:E18)</f>
        <v>1</v>
      </c>
    </row>
    <row r="19" customFormat="false" ht="15" hidden="false" customHeight="false" outlineLevel="0" collapsed="false">
      <c r="A19" s="6" t="s">
        <v>311</v>
      </c>
      <c r="B19" s="6" t="s">
        <v>228</v>
      </c>
      <c r="C19" s="13" t="n">
        <f aca="false">COUNTIFS(Події!$C$2:$C$233,$A19,Події!$O$2:$O$233,"Погоджено")</f>
        <v>0</v>
      </c>
      <c r="D19" s="13" t="n">
        <f aca="false">COUNTIFS(Події!$C$2:$C$233,$A19,Події!$O$2:$O$233,"Межовий")</f>
        <v>0</v>
      </c>
      <c r="E19" s="13" t="n">
        <f aca="false">COUNTIFS(Події!$C$2:$C$233,$A19,Події!$O$2:$O$233,"Відкинуто")</f>
        <v>0</v>
      </c>
      <c r="F19" s="13" t="n">
        <f aca="false">SUM(C19:E19)</f>
        <v>0</v>
      </c>
    </row>
    <row r="20" customFormat="false" ht="15" hidden="false" customHeight="false" outlineLevel="0" collapsed="false">
      <c r="A20" s="6" t="s">
        <v>313</v>
      </c>
      <c r="B20" s="6" t="s">
        <v>228</v>
      </c>
      <c r="C20" s="13" t="n">
        <f aca="false">COUNTIFS(Події!$C$2:$C$233,$A20,Події!$O$2:$O$233,"Погоджено")</f>
        <v>0</v>
      </c>
      <c r="D20" s="13" t="n">
        <f aca="false">COUNTIFS(Події!$C$2:$C$233,$A20,Події!$O$2:$O$233,"Межовий")</f>
        <v>0</v>
      </c>
      <c r="E20" s="13" t="n">
        <f aca="false">COUNTIFS(Події!$C$2:$C$233,$A20,Події!$O$2:$O$233,"Відкинуто")</f>
        <v>1</v>
      </c>
      <c r="F20" s="13" t="n">
        <f aca="false">SUM(C20:E20)</f>
        <v>1</v>
      </c>
    </row>
    <row r="21" customFormat="false" ht="15" hidden="false" customHeight="false" outlineLevel="0" collapsed="false">
      <c r="A21" s="6" t="s">
        <v>321</v>
      </c>
      <c r="B21" s="6" t="s">
        <v>228</v>
      </c>
      <c r="C21" s="13" t="n">
        <f aca="false">COUNTIFS(Події!$C$2:$C$233,$A21,Події!$O$2:$O$233,"Погоджено")</f>
        <v>0</v>
      </c>
      <c r="D21" s="13" t="n">
        <f aca="false">COUNTIFS(Події!$C$2:$C$233,$A21,Події!$O$2:$O$233,"Межовий")</f>
        <v>0</v>
      </c>
      <c r="E21" s="13" t="n">
        <f aca="false">COUNTIFS(Події!$C$2:$C$233,$A21,Події!$O$2:$O$233,"Відкинуто")</f>
        <v>1</v>
      </c>
      <c r="F21" s="13" t="n">
        <f aca="false">SUM(C21:E21)</f>
        <v>1</v>
      </c>
    </row>
    <row r="22" customFormat="false" ht="15" hidden="false" customHeight="false" outlineLevel="0" collapsed="false">
      <c r="A22" s="6" t="s">
        <v>327</v>
      </c>
      <c r="B22" s="6" t="s">
        <v>228</v>
      </c>
      <c r="C22" s="13" t="n">
        <f aca="false">COUNTIFS(Події!$C$2:$C$233,$A22,Події!$O$2:$O$233,"Погоджено")</f>
        <v>0</v>
      </c>
      <c r="D22" s="13" t="n">
        <f aca="false">COUNTIFS(Події!$C$2:$C$233,$A22,Події!$O$2:$O$233,"Межовий")</f>
        <v>0</v>
      </c>
      <c r="E22" s="13" t="n">
        <f aca="false">COUNTIFS(Події!$C$2:$C$233,$A22,Події!$O$2:$O$233,"Відкинуто")</f>
        <v>0</v>
      </c>
      <c r="F22" s="13" t="n">
        <f aca="false">SUM(C22:E22)</f>
        <v>0</v>
      </c>
    </row>
    <row r="23" customFormat="false" ht="15" hidden="false" customHeight="false" outlineLevel="0" collapsed="false">
      <c r="A23" s="6" t="s">
        <v>329</v>
      </c>
      <c r="B23" s="6" t="s">
        <v>330</v>
      </c>
      <c r="C23" s="13" t="n">
        <f aca="false">COUNTIFS(Події!$C$2:$C$233,$A23,Події!$O$2:$O$233,"Погоджено")</f>
        <v>0</v>
      </c>
      <c r="D23" s="13" t="n">
        <f aca="false">COUNTIFS(Події!$C$2:$C$233,$A23,Події!$O$2:$O$233,"Межовий")</f>
        <v>0</v>
      </c>
      <c r="E23" s="13" t="n">
        <f aca="false">COUNTIFS(Події!$C$2:$C$233,$A23,Події!$O$2:$O$233,"Відкинуто")</f>
        <v>2</v>
      </c>
      <c r="F23" s="13" t="n">
        <f aca="false">SUM(C23:E23)</f>
        <v>2</v>
      </c>
    </row>
    <row r="24" customFormat="false" ht="15" hidden="false" customHeight="false" outlineLevel="0" collapsed="false">
      <c r="A24" s="6" t="s">
        <v>341</v>
      </c>
      <c r="B24" s="6" t="s">
        <v>330</v>
      </c>
      <c r="C24" s="13" t="n">
        <f aca="false">COUNTIFS(Події!$C$2:$C$233,$A24,Події!$O$2:$O$233,"Погоджено")</f>
        <v>0</v>
      </c>
      <c r="D24" s="13" t="n">
        <f aca="false">COUNTIFS(Події!$C$2:$C$233,$A24,Події!$O$2:$O$233,"Межовий")</f>
        <v>0</v>
      </c>
      <c r="E24" s="13" t="n">
        <f aca="false">COUNTIFS(Події!$C$2:$C$233,$A24,Події!$O$2:$O$233,"Відкинуто")</f>
        <v>0</v>
      </c>
      <c r="F24" s="13" t="n">
        <f aca="false">SUM(C24:E24)</f>
        <v>0</v>
      </c>
    </row>
    <row r="25" customFormat="false" ht="15" hidden="false" customHeight="false" outlineLevel="0" collapsed="false">
      <c r="A25" s="6" t="s">
        <v>343</v>
      </c>
      <c r="B25" s="6" t="s">
        <v>22</v>
      </c>
      <c r="C25" s="13" t="n">
        <f aca="false">COUNTIFS(Події!$C$2:$C$233,$A25,Події!$O$2:$O$233,"Погоджено")</f>
        <v>0</v>
      </c>
      <c r="D25" s="13" t="n">
        <f aca="false">COUNTIFS(Події!$C$2:$C$233,$A25,Події!$O$2:$O$233,"Межовий")</f>
        <v>0</v>
      </c>
      <c r="E25" s="13" t="n">
        <f aca="false">COUNTIFS(Події!$C$2:$C$233,$A25,Події!$O$2:$O$233,"Відкинуто")</f>
        <v>9</v>
      </c>
      <c r="F25" s="13" t="n">
        <f aca="false">SUM(C25:E25)</f>
        <v>9</v>
      </c>
    </row>
    <row r="26" customFormat="false" ht="15" hidden="false" customHeight="false" outlineLevel="0" collapsed="false">
      <c r="A26" s="9" t="s">
        <v>396</v>
      </c>
      <c r="B26" s="10"/>
      <c r="C26" s="14" t="n">
        <f aca="false">SUM(C2:C25)</f>
        <v>30</v>
      </c>
      <c r="D26" s="14" t="n">
        <f aca="false">SUM(D2:D25)</f>
        <v>2</v>
      </c>
      <c r="E26" s="14" t="n">
        <f aca="false">SUM(E2:E25)</f>
        <v>25</v>
      </c>
      <c r="F26" s="14" t="n">
        <f aca="false">SUM(F2:F25)</f>
        <v>57</v>
      </c>
    </row>
    <row r="28" customFormat="false" ht="30" hidden="false" customHeight="true" outlineLevel="0" collapsed="false">
      <c r="A28" s="15" t="s">
        <v>397</v>
      </c>
      <c r="B28" s="15"/>
      <c r="C28" s="15"/>
      <c r="D28" s="15"/>
      <c r="E28" s="15"/>
      <c r="F28" s="15"/>
    </row>
    <row r="29" customFormat="false" ht="30" hidden="false" customHeight="true" outlineLevel="0" collapsed="false">
      <c r="A29" s="15" t="s">
        <v>398</v>
      </c>
      <c r="B29" s="15"/>
      <c r="C29" s="15"/>
      <c r="D29" s="15"/>
      <c r="E29" s="15"/>
      <c r="F29" s="15"/>
    </row>
    <row r="30" customFormat="false" ht="30" hidden="false" customHeight="true" outlineLevel="0" collapsed="false">
      <c r="A30" s="15" t="s">
        <v>399</v>
      </c>
      <c r="B30" s="15"/>
      <c r="C30" s="15"/>
      <c r="D30" s="15"/>
      <c r="E30" s="15"/>
      <c r="F30" s="15"/>
    </row>
    <row r="31" customFormat="false" ht="30" hidden="false" customHeight="true" outlineLevel="0" collapsed="false">
      <c r="A31" s="15" t="s">
        <v>400</v>
      </c>
      <c r="B31" s="15"/>
      <c r="C31" s="15"/>
      <c r="D31" s="15"/>
      <c r="E31" s="15"/>
      <c r="F31" s="15"/>
    </row>
  </sheetData>
  <mergeCells count="4"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6" min="1" style="1" width="26"/>
  </cols>
  <sheetData>
    <row r="1" customFormat="false" ht="15" hidden="false" customHeight="false" outlineLevel="0" collapsed="false">
      <c r="A1" s="16" t="s">
        <v>14</v>
      </c>
      <c r="B1" s="16" t="s">
        <v>6</v>
      </c>
      <c r="C1" s="16" t="s">
        <v>7</v>
      </c>
      <c r="D1" s="16" t="s">
        <v>8</v>
      </c>
      <c r="E1" s="16" t="s">
        <v>12</v>
      </c>
      <c r="F1" s="16" t="s">
        <v>4</v>
      </c>
    </row>
    <row r="2" customFormat="false" ht="15" hidden="false" customHeight="false" outlineLevel="0" collapsed="false">
      <c r="A2" s="17" t="s">
        <v>34</v>
      </c>
      <c r="B2" s="17" t="s">
        <v>147</v>
      </c>
      <c r="C2" s="17" t="s">
        <v>116</v>
      </c>
      <c r="D2" s="17" t="s">
        <v>41</v>
      </c>
      <c r="E2" s="17" t="s">
        <v>33</v>
      </c>
      <c r="F2" s="17" t="s">
        <v>38</v>
      </c>
    </row>
    <row r="3" customFormat="false" ht="15" hidden="false" customHeight="false" outlineLevel="0" collapsed="false">
      <c r="A3" s="17" t="s">
        <v>45</v>
      </c>
      <c r="B3" s="17" t="s">
        <v>28</v>
      </c>
      <c r="C3" s="17" t="s">
        <v>96</v>
      </c>
      <c r="D3" s="17" t="s">
        <v>30</v>
      </c>
      <c r="E3" s="17" t="s">
        <v>60</v>
      </c>
      <c r="F3" s="17" t="s">
        <v>189</v>
      </c>
    </row>
    <row r="4" customFormat="false" ht="15" hidden="false" customHeight="false" outlineLevel="0" collapsed="false">
      <c r="A4" s="17" t="s">
        <v>70</v>
      </c>
      <c r="B4" s="17" t="s">
        <v>274</v>
      </c>
      <c r="C4" s="17" t="s">
        <v>66</v>
      </c>
      <c r="D4" s="17" t="s">
        <v>231</v>
      </c>
      <c r="E4" s="17" t="s">
        <v>69</v>
      </c>
      <c r="F4" s="17" t="s">
        <v>26</v>
      </c>
    </row>
    <row r="5" customFormat="false" ht="15" hidden="false" customHeight="false" outlineLevel="0" collapsed="false">
      <c r="B5" s="17" t="s">
        <v>39</v>
      </c>
      <c r="C5" s="17" t="s">
        <v>135</v>
      </c>
      <c r="D5" s="17" t="s">
        <v>76</v>
      </c>
      <c r="E5" s="17" t="s">
        <v>297</v>
      </c>
      <c r="F5" s="17" t="s">
        <v>76</v>
      </c>
    </row>
    <row r="6" customFormat="false" ht="15" hidden="false" customHeight="false" outlineLevel="0" collapsed="false">
      <c r="B6" s="17" t="s">
        <v>95</v>
      </c>
      <c r="C6" s="17" t="s">
        <v>40</v>
      </c>
      <c r="E6" s="17" t="s">
        <v>318</v>
      </c>
    </row>
    <row r="7" customFormat="false" ht="15" hidden="false" customHeight="false" outlineLevel="0" collapsed="false">
      <c r="B7" s="17" t="s">
        <v>212</v>
      </c>
      <c r="C7" s="17" t="s">
        <v>190</v>
      </c>
      <c r="E7" s="17" t="s">
        <v>150</v>
      </c>
    </row>
    <row r="8" customFormat="false" ht="15" hidden="false" customHeight="false" outlineLevel="0" collapsed="false">
      <c r="B8" s="17" t="s">
        <v>56</v>
      </c>
      <c r="C8" s="17" t="s">
        <v>29</v>
      </c>
    </row>
    <row r="9" customFormat="false" ht="15" hidden="false" customHeight="false" outlineLevel="0" collapsed="false">
      <c r="B9" s="17" t="s">
        <v>65</v>
      </c>
      <c r="C9" s="17" t="s">
        <v>87</v>
      </c>
    </row>
    <row r="10" customFormat="false" ht="15" hidden="false" customHeight="false" outlineLevel="0" collapsed="false">
      <c r="C10" s="17" t="s">
        <v>401</v>
      </c>
    </row>
    <row r="11" customFormat="false" ht="15" hidden="false" customHeight="false" outlineLevel="0" collapsed="false">
      <c r="C11" s="1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2026-08-16T07:37:59Z</dcterms:created>
  <dc:creator>openpyxl</dc:creator>
  <dc:description/>
  <dc:language>en-US</dc:language>
  <cp:lastModifiedBy/>
  <dcterms:modified xsi:type="dcterms:W3CDTF">2026-08-16T10:48:48Z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