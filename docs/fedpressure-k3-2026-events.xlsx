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пізоди" sheetId="1" state="visible" r:id="rId1"/>
    <sheet xmlns:r="http://schemas.openxmlformats.org/officeDocument/2006/relationships" name="Зведення" sheetId="2" state="visible" r:id="rId2"/>
    <sheet xmlns:r="http://schemas.openxmlformats.org/officeDocument/2006/relationships" name="Довідники" sheetId="3" state="visible" r:id="rId3"/>
  </sheets>
  <definedNames>
    <definedName name="_xlnm._FilterDatabase" localSheetId="0" hidden="1">'Епізоди'!$A$1:$R$215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404040"/>
      <sz val="10"/>
    </font>
    <font>
      <name val="Calibri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6"/>
      </patternFill>
    </fill>
    <fill>
      <patternFill patternType="solid">
        <fgColor rgb="00FFFD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5" fillId="5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1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1F4E79"/>
      </font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vnews.ru/news-feed/omskaya-oblast-voshla-v-pyatrku-regionov-s-samym-bolshim-migratsionnym-ottokom" TargetMode="External" Id="rId1"/><Relationship Type="http://schemas.openxmlformats.org/officeDocument/2006/relationships/hyperlink" Target="https://rosstat.gov.ru/compendium/document/13283" TargetMode="External" Id="rId2"/><Relationship Type="http://schemas.openxmlformats.org/officeDocument/2006/relationships/hyperlink" Target="https://rosstat.gov.ru/compendium/document/13283" TargetMode="External" Id="rId3"/><Relationship Type="http://schemas.openxmlformats.org/officeDocument/2006/relationships/hyperlink" Target="https://cyberleninka.ru/article/n/sravnitelnyy-analiz-sotsialno-demograficheskoy-situatsii-v-respublikah-sibirskogo-federalnogo-okruga-altay-tuva-hakasiya" TargetMode="External" Id="rId4"/><Relationship Type="http://schemas.openxmlformats.org/officeDocument/2006/relationships/hyperlink" Target="https://kvnews.ru/news-feed/omskaya-oblast-voshla-v-pyatrku-regionov-s-samym-bolshim-migratsionnym-ottokom" TargetMode="External" Id="rId5"/><Relationship Type="http://schemas.openxmlformats.org/officeDocument/2006/relationships/hyperlink" Target="https://rosstat.gov.ru/compendium/document/13283" TargetMode="External" Id="rId6"/><Relationship Type="http://schemas.openxmlformats.org/officeDocument/2006/relationships/hyperlink" Target="https://kvnews.ru/news-feed/omskaya-oblast-voshla-v-pyatrku-regionov-s-samym-bolshim-migratsionnym-ottokom" TargetMode="External" Id="rId7"/><Relationship Type="http://schemas.openxmlformats.org/officeDocument/2006/relationships/hyperlink" Target="https://sia.ru/?action=show_news&amp;id=16828417&amp;section=484" TargetMode="External" Id="rId8"/><Relationship Type="http://schemas.openxmlformats.org/officeDocument/2006/relationships/hyperlink" Target="https://ngs42.ru/text/gorod/2024/09/08/74062700/" TargetMode="External" Id="rId9"/><Relationship Type="http://schemas.openxmlformats.org/officeDocument/2006/relationships/hyperlink" Target="https://kuzbass.aif.ru/society/ottok_naseleniya_iz_kuzbassa_prodolzhaetsya" TargetMode="External" Id="rId10"/><Relationship Type="http://schemas.openxmlformats.org/officeDocument/2006/relationships/hyperlink" Target="https://ngs42.ru/text/incidents/2026/02/19/76272623/" TargetMode="External" Id="rId11"/><Relationship Type="http://schemas.openxmlformats.org/officeDocument/2006/relationships/hyperlink" Target="https://ngs42.ru/text/job/2026/03/08/76301747/" TargetMode="External" Id="rId12"/><Relationship Type="http://schemas.openxmlformats.org/officeDocument/2006/relationships/hyperlink" Target="https://ngs42.ru/text/economics/2026/05/06/76404811/" TargetMode="External" Id="rId13"/><Relationship Type="http://schemas.openxmlformats.org/officeDocument/2006/relationships/hyperlink" Target="https://ngs42.ru/text/economics/2026/05/11/76414284/" TargetMode="External" Id="rId14"/><Relationship Type="http://schemas.openxmlformats.org/officeDocument/2006/relationships/hyperlink" Target="https://www.kommersant.ru/doc/8571641" TargetMode="External" Id="rId15"/><Relationship Type="http://schemas.openxmlformats.org/officeDocument/2006/relationships/hyperlink" Target="https://ngs42.ru/text/job/2026/05/26/76441281/" TargetMode="External" Id="rId16"/><Relationship Type="http://schemas.openxmlformats.org/officeDocument/2006/relationships/hyperlink" Target="https://kvnews.ru/news-feed/omskaya-oblast-voshla-v-pyatrku-regionov-s-samym-bolshim-migratsionnym-ottokom" TargetMode="External" Id="rId17"/><Relationship Type="http://schemas.openxmlformats.org/officeDocument/2006/relationships/hyperlink" Target="https://ngs24.ru/text/gorod/2026/08/10/76575873/" TargetMode="External" Id="rId18"/><Relationship Type="http://schemas.openxmlformats.org/officeDocument/2006/relationships/hyperlink" Target="https://www.omsk.kp.ru/online/news/6227785/" TargetMode="External" Id="rId19"/><Relationship Type="http://schemas.openxmlformats.org/officeDocument/2006/relationships/hyperlink" Target="https://kvnews.ru/news-feed/omskaya-oblast-voshla-v-pyatrku-regionov-s-samym-bolshim-migratsionnym-ottokom" TargetMode="External" Id="rId20"/><Relationship Type="http://schemas.openxmlformats.org/officeDocument/2006/relationships/hyperlink" Target="https://news.mail.ru/society/64369327/" TargetMode="External" Id="rId21"/><Relationship Type="http://schemas.openxmlformats.org/officeDocument/2006/relationships/hyperlink" Target="https://kvnews.ru/news-feed/omskaya-oblast-voshla-v-pyatrku-regionov-s-samym-bolshim-migratsionnym-ottokom" TargetMode="External" Id="rId22"/><Relationship Type="http://schemas.openxmlformats.org/officeDocument/2006/relationships/hyperlink" Target="https://03.rosstat.gov.ru/statcurrentevents/document/219479" TargetMode="External" Id="rId23"/><Relationship Type="http://schemas.openxmlformats.org/officeDocument/2006/relationships/hyperlink" Target="https://arigus.tv/news/society/149883-buryatiya-prodolzhaet-vymirat/" TargetMode="External" Id="rId24"/><Relationship Type="http://schemas.openxmlformats.org/officeDocument/2006/relationships/hyperlink" Target="https://rosstat.gov.ru/compendium/document/13283" TargetMode="External" Id="rId25"/><Relationship Type="http://schemas.openxmlformats.org/officeDocument/2006/relationships/hyperlink" Target="https://yakutia.info/article/214442" TargetMode="External" Id="rId26"/><Relationship Type="http://schemas.openxmlformats.org/officeDocument/2006/relationships/hyperlink" Target="https://yakutia.info/article/210043" TargetMode="External" Id="rId27"/><Relationship Type="http://schemas.openxmlformats.org/officeDocument/2006/relationships/hyperlink" Target="https://14.ru/text/politics/2026/05/29/76431927/" TargetMode="External" Id="rId28"/><Relationship Type="http://schemas.openxmlformats.org/officeDocument/2006/relationships/hyperlink" Target="https://zab.tv/news/72513" TargetMode="External" Id="rId29"/><Relationship Type="http://schemas.openxmlformats.org/officeDocument/2006/relationships/hyperlink" Target="https://www.eastrussia.ru/news/naselenie-zabaykalya-umenshilos-za-schet-migratsii-/" TargetMode="External" Id="rId30"/><Relationship Type="http://schemas.openxmlformats.org/officeDocument/2006/relationships/hyperlink" Target="https://www.chita.ru/text/education/2026/02/16/76266305/" TargetMode="External" Id="rId31"/><Relationship Type="http://schemas.openxmlformats.org/officeDocument/2006/relationships/hyperlink" Target="https://www.chita.ru/text/education/2026/06/18/76483001/" TargetMode="External" Id="rId32"/><Relationship Type="http://schemas.openxmlformats.org/officeDocument/2006/relationships/hyperlink" Target="https://www.chita.ru/text/society/2026/08/03/76564570/" TargetMode="External" Id="rId33"/><Relationship Type="http://schemas.openxmlformats.org/officeDocument/2006/relationships/hyperlink" Target="https://ngs24.ru/text/gorod/2026/08/10/76575873/" TargetMode="External" Id="rId34"/><Relationship Type="http://schemas.openxmlformats.org/officeDocument/2006/relationships/hyperlink" Target="https://rosstat.gov.ru/compendium/document/13283" TargetMode="External" Id="rId35"/><Relationship Type="http://schemas.openxmlformats.org/officeDocument/2006/relationships/hyperlink" Target="http://debri-dv.ru/m/article/22226/kamchatstat_ottok_naseleniya_usililsya_uezzhayut_lyudi_s_vysshim_obrazovaniem" TargetMode="External" Id="rId36"/><Relationship Type="http://schemas.openxmlformats.org/officeDocument/2006/relationships/hyperlink" Target="https://primamedia.ru/news/2325424/" TargetMode="External" Id="rId37"/><Relationship Type="http://schemas.openxmlformats.org/officeDocument/2006/relationships/hyperlink" Target="https://news.mail.ru/society/62276363/" TargetMode="External" Id="rId38"/><Relationship Type="http://schemas.openxmlformats.org/officeDocument/2006/relationships/hyperlink" Target="https://vladnews.ru/2026-05-23/268420/primore_voshlo" TargetMode="External" Id="rId39"/><Relationship Type="http://schemas.openxmlformats.org/officeDocument/2006/relationships/hyperlink" Target="https://www.eastrussia.ru/material/demografiya-dalnego-vostoka-razvorachivaya-trend/" TargetMode="External" Id="rId40"/><Relationship Type="http://schemas.openxmlformats.org/officeDocument/2006/relationships/hyperlink" Target="https://www.eastrussia.ru/material/demografiya-dalnego-vostoka-razvorachivaya-trend/" TargetMode="External" Id="rId41"/><Relationship Type="http://schemas.openxmlformats.org/officeDocument/2006/relationships/hyperlink" Target="https://www.kommersant.ru/doc/4957258" TargetMode="External" Id="rId42"/><Relationship Type="http://schemas.openxmlformats.org/officeDocument/2006/relationships/hyperlink" Target="https://rosstat.gov.ru/compendium/document/13283" TargetMode="External" Id="rId43"/><Relationship Type="http://schemas.openxmlformats.org/officeDocument/2006/relationships/hyperlink" Target="https://www.eastrussia.ru/material/demografiya-dalnego-vostoka-razvorachivaya-trend/" TargetMode="External" Id="rId44"/><Relationship Type="http://schemas.openxmlformats.org/officeDocument/2006/relationships/hyperlink" Target="https://rosstat.gov.ru/compendium/document/13283" TargetMode="External" Id="rId45"/><Relationship Type="http://schemas.openxmlformats.org/officeDocument/2006/relationships/hyperlink" Target="https://www.kommersant.ru/doc/4957258" TargetMode="External" Id="rId46"/><Relationship Type="http://schemas.openxmlformats.org/officeDocument/2006/relationships/hyperlink" Target="https://rosstat.gov.ru/compendium/document/13283" TargetMode="External" Id="rId47"/><Relationship Type="http://schemas.openxmlformats.org/officeDocument/2006/relationships/hyperlink" Target="https://rosstat.gov.ru/compendium/document/13283" TargetMode="External" Id="rId48"/><Relationship Type="http://schemas.openxmlformats.org/officeDocument/2006/relationships/hyperlink" Target="https://ura.news/news/1053051878" TargetMode="External" Id="rId49"/><Relationship Type="http://schemas.openxmlformats.org/officeDocument/2006/relationships/hyperlink" Target="https://ks-yanao.ru/narrative/obschestvo/instruktsija-jamaltsu-po-pereseleniju-v-drugie-regiony" TargetMode="External" Id="rId50"/><Relationship Type="http://schemas.openxmlformats.org/officeDocument/2006/relationships/hyperlink" Target="https://www.kommersant.ru/doc/8603928" TargetMode="External" Id="rId51"/><Relationship Type="http://schemas.openxmlformats.org/officeDocument/2006/relationships/hyperlink" Target="https://expert.ru/obshchestvo/proletarii-vsekh-stran-obedinyatsya-v-rossii" TargetMode="External" Id="rId52"/><Relationship Type="http://schemas.openxmlformats.org/officeDocument/2006/relationships/hyperlink" Target="https://www.e1.ru/text/economics/2026/03/16/76311100/" TargetMode="External" Id="rId53"/><Relationship Type="http://schemas.openxmlformats.org/officeDocument/2006/relationships/hyperlink" Target="https://verstka.media/kak-rossiiskie-vlasti-pytayutsya-reshit-problemu-nehvatki-kontraktnikov" TargetMode="External" Id="rId54"/><Relationship Type="http://schemas.openxmlformats.org/officeDocument/2006/relationships/hyperlink" Target="https://www.vbr.ru/novosti/politika/2026/08/12/skritaya-mobilizaciya-2026/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2" customWidth="1" min="4" max="4"/>
    <col width="13" customWidth="1" min="5" max="5"/>
    <col width="22" customWidth="1" min="6" max="6"/>
    <col width="24" customWidth="1" min="7" max="7"/>
    <col width="24" customWidth="1" min="8" max="8"/>
    <col width="15" customWidth="1" min="9" max="9"/>
    <col width="64" customWidth="1" min="10" max="10"/>
    <col width="18" customWidth="1" min="11" max="11"/>
    <col width="20" customWidth="1" min="12" max="12"/>
    <col width="18" customWidth="1" min="13" max="13"/>
    <col width="16" customWidth="1" min="14" max="14"/>
    <col width="40" customWidth="1" min="15" max="15"/>
    <col width="22" customWidth="1" min="16" max="16"/>
    <col width="46" customWidth="1" min="17" max="17"/>
    <col width="46" customWidth="1" min="18" max="18"/>
  </cols>
  <sheetData>
    <row r="1" ht="32" customHeight="1">
      <c r="A1" s="1" t="inlineStr">
        <is>
          <t>№</t>
        </is>
      </c>
      <c r="B1" s="1" t="inlineStr">
        <is>
          <t>ФО</t>
        </is>
      </c>
      <c r="C1" s="1" t="inlineStr">
        <is>
          <t>Суб'єкт</t>
        </is>
      </c>
      <c r="D1" s="1" t="inlineStr">
        <is>
          <t>Дата</t>
        </is>
      </c>
      <c r="E1" s="1" t="inlineStr">
        <is>
          <t>Точність дати</t>
        </is>
      </c>
      <c r="F1" s="1" t="inlineStr">
        <is>
          <t>Населений пункт</t>
        </is>
      </c>
      <c r="G1" s="1" t="inlineStr">
        <is>
          <t>Механізм</t>
        </is>
      </c>
      <c r="H1" s="1" t="inlineStr">
        <is>
          <t>Тип епізоду</t>
        </is>
      </c>
      <c r="I1" s="1" t="inlineStr">
        <is>
          <t>Напрям відтоку</t>
        </is>
      </c>
      <c r="J1" s="1" t="inlineStr">
        <is>
          <t>Опис</t>
        </is>
      </c>
      <c r="K1" s="1" t="inlineStr">
        <is>
          <t>Масштаб</t>
        </is>
      </c>
      <c r="L1" s="1" t="inlineStr">
        <is>
          <t>Хто заявив</t>
        </is>
      </c>
      <c r="M1" s="1" t="inlineStr">
        <is>
          <t>Причина за джерелом</t>
        </is>
      </c>
      <c r="N1" s="1" t="inlineStr">
        <is>
          <t>Статус</t>
        </is>
      </c>
      <c r="O1" s="1" t="inlineStr">
        <is>
          <t>Причина рішення</t>
        </is>
      </c>
      <c r="P1" s="1" t="inlineStr">
        <is>
          <t>Тип джерела</t>
        </is>
      </c>
      <c r="Q1" s="1" t="inlineStr">
        <is>
          <t>Джерело 1</t>
        </is>
      </c>
      <c r="R1" s="1" t="inlineStr">
        <is>
          <t>Джерело 2</t>
        </is>
      </c>
    </row>
    <row r="2">
      <c r="A2" s="2" t="inlineStr">
        <is>
          <t>Республіка Алтай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 ht="52" customHeight="1">
      <c r="A3" s="4" t="n">
        <v>1</v>
      </c>
      <c r="B3" s="4" t="inlineStr">
        <is>
          <t>СФО</t>
        </is>
      </c>
      <c r="C3" s="4" t="inlineStr">
        <is>
          <t>Республіка Алтай</t>
        </is>
      </c>
      <c r="D3" s="4" t="inlineStr">
        <is>
          <t>2024-12-31</t>
        </is>
      </c>
      <c r="E3" s="4" t="inlineStr">
        <is>
          <t>Період</t>
        </is>
      </c>
      <c r="F3" s="4" t="inlineStr">
        <is>
          <t>Республіка Алтай</t>
        </is>
      </c>
      <c r="G3" s="4" t="inlineStr">
        <is>
          <t>Інше</t>
        </is>
      </c>
      <c r="H3" s="4" t="inlineStr">
        <is>
          <t>Статистичні дані</t>
        </is>
      </c>
      <c r="I3" s="4" t="inlineStr">
        <is>
          <t>Внутрішній</t>
        </is>
      </c>
      <c r="J3" s="4" t="inlineStr">
        <is>
          <t>За 2024 рік республіка — один із трьох регіонів СФО з міграційним ПРИРОСТОМ (+42)</t>
        </is>
      </c>
      <c r="K3" s="4" t="inlineStr">
        <is>
          <t>+42</t>
        </is>
      </c>
      <c r="L3" s="4" t="inlineStr">
        <is>
          <t>Росстат</t>
        </is>
      </c>
      <c r="M3" s="4" t="inlineStr">
        <is>
          <t>Не названа</t>
        </is>
      </c>
      <c r="N3" s="4" t="inlineStr">
        <is>
          <t>Зустрічний знак</t>
        </is>
      </c>
      <c r="O3" s="4" t="inlineStr">
        <is>
          <t>Суперечить гіпотезі ТЗ про збільшення відтоку</t>
        </is>
      </c>
      <c r="P3" s="4" t="inlineStr">
        <is>
          <t>Регіональне медіа</t>
        </is>
      </c>
      <c r="Q3" s="5" t="inlineStr">
        <is>
          <t>https://kvnews.ru/news-feed/omskaya-oblast-voshla-v-pyatrku-regionov-s-samym-bolshim-migratsionnym-ottokom</t>
        </is>
      </c>
      <c r="R3" s="4" t="n"/>
    </row>
    <row r="4" ht="20" customHeight="1">
      <c r="A4" s="6" t="n"/>
      <c r="B4" s="6" t="inlineStr">
        <is>
          <t>СФО</t>
        </is>
      </c>
      <c r="C4" s="6" t="inlineStr">
        <is>
          <t>Республіка Алтай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 ht="20" customHeight="1">
      <c r="A5" s="6" t="n"/>
      <c r="B5" s="6" t="inlineStr">
        <is>
          <t>СФО</t>
        </is>
      </c>
      <c r="C5" s="6" t="inlineStr">
        <is>
          <t>Республіка Алтай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 ht="20" customHeight="1">
      <c r="A6" s="6" t="n"/>
      <c r="B6" s="6" t="inlineStr">
        <is>
          <t>СФО</t>
        </is>
      </c>
      <c r="C6" s="6" t="inlineStr">
        <is>
          <t>Республіка Алтай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 ht="20" customHeight="1">
      <c r="A7" s="6" t="n"/>
      <c r="B7" s="6" t="inlineStr">
        <is>
          <t>СФО</t>
        </is>
      </c>
      <c r="C7" s="6" t="inlineStr">
        <is>
          <t>Республіка Алтай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7" t="inlineStr">
        <is>
          <t>Разом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7">
        <f>CONCATENATE("Погоджено: ",COUNTIF(N3:N7,"Погоджено"),"   ·   Межових: ",COUNTIF(N3:N7,"Межовий"),"   ·   Відкинуто: ",COUNTIF(N3:N7,"Відкинуто"),"   ·   Зустрічних: ",COUNTIF(N3:N7,"Зустрічний знак"))</f>
        <v/>
      </c>
      <c r="K8" s="8" t="n"/>
      <c r="L8" s="8" t="n"/>
      <c r="M8" s="8" t="n"/>
      <c r="N8" s="7">
        <f>COUNTIF(N3:N7,"Погоджено")</f>
        <v/>
      </c>
      <c r="O8" s="8" t="n"/>
      <c r="P8" s="8" t="n"/>
      <c r="Q8" s="8" t="n"/>
      <c r="R8" s="8" t="n"/>
    </row>
    <row r="10">
      <c r="A10" s="2" t="inlineStr">
        <is>
          <t>Алтайський край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 ht="46" customHeight="1">
      <c r="A11" s="9" t="n"/>
      <c r="B11" s="10" t="inlineStr">
        <is>
          <t>СФО</t>
        </is>
      </c>
      <c r="C11" s="10" t="inlineStr">
        <is>
          <t>Алтайський край</t>
        </is>
      </c>
      <c r="D11" s="9" t="n"/>
      <c r="E11" s="9" t="n"/>
      <c r="F11" s="9" t="n"/>
      <c r="G11" s="9" t="n"/>
      <c r="H11" s="9" t="n"/>
      <c r="I11" s="9" t="n"/>
      <c r="J11" s="11" t="inlineStr">
        <is>
          <t>Епізодів 2026 року не знайдено. Коефіцієнт міграційного приросту 2023 — −0,8 на 10 тис.; помітний відтік молоді в абсолютних числах, але новинних подій цього року немає.</t>
        </is>
      </c>
      <c r="K11" s="9" t="n"/>
      <c r="L11" s="9" t="n"/>
      <c r="M11" s="9" t="n"/>
      <c r="N11" s="10" t="inlineStr">
        <is>
          <t>—</t>
        </is>
      </c>
      <c r="O11" s="9" t="n"/>
      <c r="P11" s="10" t="inlineStr">
        <is>
          <t>Офіційний документ</t>
        </is>
      </c>
      <c r="Q11" s="5" t="inlineStr">
        <is>
          <t>https://rosstat.gov.ru/compendium/document/13283</t>
        </is>
      </c>
      <c r="R11" s="9" t="n"/>
    </row>
    <row r="12" ht="20" customHeight="1">
      <c r="A12" s="6" t="n"/>
      <c r="B12" s="6" t="inlineStr">
        <is>
          <t>СФО</t>
        </is>
      </c>
      <c r="C12" s="6" t="inlineStr">
        <is>
          <t>Алтайський край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 ht="20" customHeight="1">
      <c r="A13" s="6" t="n"/>
      <c r="B13" s="6" t="inlineStr">
        <is>
          <t>СФО</t>
        </is>
      </c>
      <c r="C13" s="6" t="inlineStr">
        <is>
          <t>Алтайський край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 ht="20" customHeight="1">
      <c r="A14" s="6" t="n"/>
      <c r="B14" s="6" t="inlineStr">
        <is>
          <t>СФО</t>
        </is>
      </c>
      <c r="C14" s="6" t="inlineStr">
        <is>
          <t>Алтайський край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 ht="20" customHeight="1">
      <c r="A15" s="6" t="n"/>
      <c r="B15" s="6" t="inlineStr">
        <is>
          <t>СФО</t>
        </is>
      </c>
      <c r="C15" s="6" t="inlineStr">
        <is>
          <t>Алтайський край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7" t="inlineStr">
        <is>
          <t>Разом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7">
        <f>CONCATENATE("Погоджено: ",COUNTIF(N11:N15,"Погоджено"),"   ·   Межових: ",COUNTIF(N11:N15,"Межовий"),"   ·   Відкинуто: ",COUNTIF(N11:N15,"Відкинуто"),"   ·   Зустрічних: ",COUNTIF(N11:N15,"Зустрічний знак"))</f>
        <v/>
      </c>
      <c r="K16" s="8" t="n"/>
      <c r="L16" s="8" t="n"/>
      <c r="M16" s="8" t="n"/>
      <c r="N16" s="7">
        <f>COUNTIF(N11:N15,"Погоджено")</f>
        <v/>
      </c>
      <c r="O16" s="8" t="n"/>
      <c r="P16" s="8" t="n"/>
      <c r="Q16" s="8" t="n"/>
      <c r="R16" s="8" t="n"/>
    </row>
    <row r="18">
      <c r="A18" s="2" t="inlineStr">
        <is>
          <t>Тива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 ht="52" customHeight="1">
      <c r="A19" s="4" t="n">
        <v>2</v>
      </c>
      <c r="B19" s="4" t="inlineStr">
        <is>
          <t>СФО</t>
        </is>
      </c>
      <c r="C19" s="4" t="inlineStr">
        <is>
          <t>Тива</t>
        </is>
      </c>
      <c r="D19" s="4" t="inlineStr">
        <is>
          <t>2023-12-31</t>
        </is>
      </c>
      <c r="E19" s="4" t="inlineStr">
        <is>
          <t>Період</t>
        </is>
      </c>
      <c r="F19" s="4" t="inlineStr">
        <is>
          <t>Тива</t>
        </is>
      </c>
      <c r="G19" s="4" t="inlineStr">
        <is>
          <t>Відтік молоді</t>
        </is>
      </c>
      <c r="H19" s="4" t="inlineStr">
        <is>
          <t>Статистичні дані</t>
        </is>
      </c>
      <c r="I19" s="4" t="inlineStr">
        <is>
          <t>Внутрішній</t>
        </is>
      </c>
      <c r="J19" s="4" t="inlineStr">
        <is>
          <t>Найгірший коефіцієнт міграційного приросту у скоупі — −7,4 на 10 тис. За 2017–2022 республіка втратила 0,40% населення через від'їзд молоді</t>
        </is>
      </c>
      <c r="K19" s="4" t="inlineStr">
        <is>
          <t>−7,4 / 10 тис.</t>
        </is>
      </c>
      <c r="L19" s="4" t="inlineStr">
        <is>
          <t>Росстат</t>
        </is>
      </c>
      <c r="M19" s="4" t="inlineStr">
        <is>
          <t>Не названа</t>
        </is>
      </c>
      <c r="N19" s="4" t="inlineStr">
        <is>
          <t>Відкинуто</t>
        </is>
      </c>
      <c r="O19" s="4" t="inlineStr">
        <is>
          <t>Поза періодом (2023). Епізодів 2026 року не знайдено — Тива найгірше покрита новинними джерелами</t>
        </is>
      </c>
      <c r="P19" s="4" t="inlineStr">
        <is>
          <t>Офіційний документ</t>
        </is>
      </c>
      <c r="Q19" s="5" t="inlineStr">
        <is>
          <t>https://rosstat.gov.ru/compendium/document/13283</t>
        </is>
      </c>
      <c r="R19" s="5" t="inlineStr">
        <is>
          <t>https://cyberleninka.ru/article/n/sravnitelnyy-analiz-sotsialno-demograficheskoy-situatsii-v-respublikah-sibirskogo-federalnogo-okruga-altay-tuva-hakasiya</t>
        </is>
      </c>
    </row>
    <row r="20" ht="20" customHeight="1">
      <c r="A20" s="6" t="n"/>
      <c r="B20" s="6" t="inlineStr">
        <is>
          <t>СФО</t>
        </is>
      </c>
      <c r="C20" s="6" t="inlineStr">
        <is>
          <t>Тива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 ht="20" customHeight="1">
      <c r="A21" s="6" t="n"/>
      <c r="B21" s="6" t="inlineStr">
        <is>
          <t>СФО</t>
        </is>
      </c>
      <c r="C21" s="6" t="inlineStr">
        <is>
          <t>Тива</t>
        </is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 ht="20" customHeight="1">
      <c r="A22" s="6" t="n"/>
      <c r="B22" s="6" t="inlineStr">
        <is>
          <t>СФО</t>
        </is>
      </c>
      <c r="C22" s="6" t="inlineStr">
        <is>
          <t>Тива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 ht="20" customHeight="1">
      <c r="A23" s="6" t="n"/>
      <c r="B23" s="6" t="inlineStr">
        <is>
          <t>СФО</t>
        </is>
      </c>
      <c r="C23" s="6" t="inlineStr">
        <is>
          <t>Тива</t>
        </is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>
      <c r="A24" s="7" t="inlineStr">
        <is>
          <t>Разом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7">
        <f>CONCATENATE("Погоджено: ",COUNTIF(N19:N23,"Погоджено"),"   ·   Межових: ",COUNTIF(N19:N23,"Межовий"),"   ·   Відкинуто: ",COUNTIF(N19:N23,"Відкинуто"),"   ·   Зустрічних: ",COUNTIF(N19:N23,"Зустрічний знак"))</f>
        <v/>
      </c>
      <c r="K24" s="8" t="n"/>
      <c r="L24" s="8" t="n"/>
      <c r="M24" s="8" t="n"/>
      <c r="N24" s="7">
        <f>COUNTIF(N19:N23,"Погоджено")</f>
        <v/>
      </c>
      <c r="O24" s="8" t="n"/>
      <c r="P24" s="8" t="n"/>
      <c r="Q24" s="8" t="n"/>
      <c r="R24" s="8" t="n"/>
    </row>
    <row r="26">
      <c r="A26" s="2" t="inlineStr">
        <is>
          <t>Хакасія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52" customHeight="1">
      <c r="A27" s="4" t="n">
        <v>3</v>
      </c>
      <c r="B27" s="4" t="inlineStr">
        <is>
          <t>СФО</t>
        </is>
      </c>
      <c r="C27" s="4" t="inlineStr">
        <is>
          <t>Хакасія</t>
        </is>
      </c>
      <c r="D27" s="4" t="inlineStr">
        <is>
          <t>2024-12-31</t>
        </is>
      </c>
      <c r="E27" s="4" t="inlineStr">
        <is>
          <t>Період</t>
        </is>
      </c>
      <c r="F27" s="4" t="inlineStr">
        <is>
          <t>Хакасія</t>
        </is>
      </c>
      <c r="G27" s="4" t="inlineStr">
        <is>
          <t>Інше</t>
        </is>
      </c>
      <c r="H27" s="4" t="inlineStr">
        <is>
          <t>Статистичні дані</t>
        </is>
      </c>
      <c r="I27" s="4" t="inlineStr">
        <is>
          <t>Внутрішній</t>
        </is>
      </c>
      <c r="J27" s="4" t="inlineStr">
        <is>
          <t>За 2024 рік республіка — один із трьох регіонів СФО з міграційним ПРИРОСТОМ (+335)</t>
        </is>
      </c>
      <c r="K27" s="4" t="inlineStr">
        <is>
          <t>+335</t>
        </is>
      </c>
      <c r="L27" s="4" t="inlineStr">
        <is>
          <t>Росстат</t>
        </is>
      </c>
      <c r="M27" s="4" t="inlineStr">
        <is>
          <t>Не названа</t>
        </is>
      </c>
      <c r="N27" s="4" t="inlineStr">
        <is>
          <t>Зустрічний знак</t>
        </is>
      </c>
      <c r="O27" s="4" t="inlineStr">
        <is>
          <t>Суперечить гіпотезі ТЗ</t>
        </is>
      </c>
      <c r="P27" s="4" t="inlineStr">
        <is>
          <t>Регіональне медіа</t>
        </is>
      </c>
      <c r="Q27" s="5" t="inlineStr">
        <is>
          <t>https://kvnews.ru/news-feed/omskaya-oblast-voshla-v-pyatrku-regionov-s-samym-bolshim-migratsionnym-ottokom</t>
        </is>
      </c>
      <c r="R27" s="4" t="n"/>
    </row>
    <row r="28" ht="20" customHeight="1">
      <c r="A28" s="6" t="n"/>
      <c r="B28" s="6" t="inlineStr">
        <is>
          <t>СФО</t>
        </is>
      </c>
      <c r="C28" s="6" t="inlineStr">
        <is>
          <t>Хакасія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 ht="20" customHeight="1">
      <c r="A29" s="6" t="n"/>
      <c r="B29" s="6" t="inlineStr">
        <is>
          <t>СФО</t>
        </is>
      </c>
      <c r="C29" s="6" t="inlineStr">
        <is>
          <t>Хакасія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 ht="20" customHeight="1">
      <c r="A30" s="6" t="n"/>
      <c r="B30" s="6" t="inlineStr">
        <is>
          <t>СФО</t>
        </is>
      </c>
      <c r="C30" s="6" t="inlineStr">
        <is>
          <t>Хакасія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 ht="20" customHeight="1">
      <c r="A31" s="6" t="n"/>
      <c r="B31" s="6" t="inlineStr">
        <is>
          <t>СФО</t>
        </is>
      </c>
      <c r="C31" s="6" t="inlineStr">
        <is>
          <t>Хакасія</t>
        </is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>
      <c r="A32" s="7" t="inlineStr">
        <is>
          <t>Разом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7">
        <f>CONCATENATE("Погоджено: ",COUNTIF(N27:N31,"Погоджено"),"   ·   Межових: ",COUNTIF(N27:N31,"Межовий"),"   ·   Відкинуто: ",COUNTIF(N27:N31,"Відкинуто"),"   ·   Зустрічних: ",COUNTIF(N27:N31,"Зустрічний знак"))</f>
        <v/>
      </c>
      <c r="K32" s="8" t="n"/>
      <c r="L32" s="8" t="n"/>
      <c r="M32" s="8" t="n"/>
      <c r="N32" s="7">
        <f>COUNTIF(N27:N31,"Погоджено")</f>
        <v/>
      </c>
      <c r="O32" s="8" t="n"/>
      <c r="P32" s="8" t="n"/>
      <c r="Q32" s="8" t="n"/>
      <c r="R32" s="8" t="n"/>
    </row>
    <row r="34">
      <c r="A34" s="2" t="inlineStr">
        <is>
          <t>Красноярський край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46" customHeight="1">
      <c r="A35" s="9" t="n"/>
      <c r="B35" s="10" t="inlineStr">
        <is>
          <t>СФО</t>
        </is>
      </c>
      <c r="C35" s="10" t="inlineStr">
        <is>
          <t>Красноярський край</t>
        </is>
      </c>
      <c r="D35" s="9" t="n"/>
      <c r="E35" s="9" t="n"/>
      <c r="F35" s="9" t="n"/>
      <c r="G35" s="9" t="n"/>
      <c r="H35" s="9" t="n"/>
      <c r="I35" s="9" t="n"/>
      <c r="J35" s="11" t="inlineStr">
        <is>
          <t>Епізодів 2026 року не знайдено. За 2023 рік — єдиний із великих сибірських регіонів із міграційним приростом (+3,4 на 10 тис.).</t>
        </is>
      </c>
      <c r="K35" s="9" t="n"/>
      <c r="L35" s="9" t="n"/>
      <c r="M35" s="9" t="n"/>
      <c r="N35" s="10" t="inlineStr">
        <is>
          <t>—</t>
        </is>
      </c>
      <c r="O35" s="9" t="n"/>
      <c r="P35" s="10" t="inlineStr">
        <is>
          <t>Офіційний документ</t>
        </is>
      </c>
      <c r="Q35" s="5" t="inlineStr">
        <is>
          <t>https://rosstat.gov.ru/compendium/document/13283</t>
        </is>
      </c>
      <c r="R35" s="9" t="n"/>
    </row>
    <row r="36" ht="20" customHeight="1">
      <c r="A36" s="6" t="n"/>
      <c r="B36" s="6" t="inlineStr">
        <is>
          <t>СФО</t>
        </is>
      </c>
      <c r="C36" s="6" t="inlineStr">
        <is>
          <t>Красноярський край</t>
        </is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 ht="20" customHeight="1">
      <c r="A37" s="6" t="n"/>
      <c r="B37" s="6" t="inlineStr">
        <is>
          <t>СФО</t>
        </is>
      </c>
      <c r="C37" s="6" t="inlineStr">
        <is>
          <t>Красноярський край</t>
        </is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</row>
    <row r="38" ht="20" customHeight="1">
      <c r="A38" s="6" t="n"/>
      <c r="B38" s="6" t="inlineStr">
        <is>
          <t>СФО</t>
        </is>
      </c>
      <c r="C38" s="6" t="inlineStr">
        <is>
          <t>Красноярський край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</row>
    <row r="39" ht="20" customHeight="1">
      <c r="A39" s="6" t="n"/>
      <c r="B39" s="6" t="inlineStr">
        <is>
          <t>СФО</t>
        </is>
      </c>
      <c r="C39" s="6" t="inlineStr">
        <is>
          <t>Красноярський край</t>
        </is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</row>
    <row r="40">
      <c r="A40" s="7" t="inlineStr">
        <is>
          <t>Разом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7">
        <f>CONCATENATE("Погоджено: ",COUNTIF(N35:N39,"Погоджено"),"   ·   Межових: ",COUNTIF(N35:N39,"Межовий"),"   ·   Відкинуто: ",COUNTIF(N35:N39,"Відкинуто"),"   ·   Зустрічних: ",COUNTIF(N35:N39,"Зустрічний знак"))</f>
        <v/>
      </c>
      <c r="K40" s="8" t="n"/>
      <c r="L40" s="8" t="n"/>
      <c r="M40" s="8" t="n"/>
      <c r="N40" s="7">
        <f>COUNTIF(N35:N39,"Погоджено")</f>
        <v/>
      </c>
      <c r="O40" s="8" t="n"/>
      <c r="P40" s="8" t="n"/>
      <c r="Q40" s="8" t="n"/>
      <c r="R40" s="8" t="n"/>
    </row>
    <row r="42">
      <c r="A42" s="2" t="inlineStr">
        <is>
          <t>Іркутська область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52" customHeight="1">
      <c r="A43" s="4" t="n">
        <v>4</v>
      </c>
      <c r="B43" s="4" t="inlineStr">
        <is>
          <t>СФО</t>
        </is>
      </c>
      <c r="C43" s="4" t="inlineStr">
        <is>
          <t>Іркутська область</t>
        </is>
      </c>
      <c r="D43" s="4" t="inlineStr">
        <is>
          <t>2024-12-31</t>
        </is>
      </c>
      <c r="E43" s="4" t="inlineStr">
        <is>
          <t>Період</t>
        </is>
      </c>
      <c r="F43" s="4" t="inlineStr">
        <is>
          <t>Іркутська область</t>
        </is>
      </c>
      <c r="G43" s="4" t="inlineStr">
        <is>
          <t>Відтік молоді</t>
        </is>
      </c>
      <c r="H43" s="4" t="inlineStr">
        <is>
          <t>Статистичні дані</t>
        </is>
      </c>
      <c r="I43" s="4" t="inlineStr">
        <is>
          <t>Внутрішній</t>
        </is>
      </c>
      <c r="J43" s="4" t="inlineStr">
        <is>
          <t>Найбільший міграційний спад у Сибірському ФО за 2024 рік — −3 384 особи (за січень–листопад −3 067)</t>
        </is>
      </c>
      <c r="K43" s="4" t="inlineStr">
        <is>
          <t>−3 384</t>
        </is>
      </c>
      <c r="L43" s="4" t="inlineStr">
        <is>
          <t>Росстат</t>
        </is>
      </c>
      <c r="M43" s="4" t="inlineStr">
        <is>
          <t>Не названа</t>
        </is>
      </c>
      <c r="N43" s="4" t="inlineStr">
        <is>
          <t>Відкинуто</t>
        </is>
      </c>
      <c r="O43" s="4" t="inlineStr">
        <is>
          <t>Поза періодом (2024) — наведено як база порівняння</t>
        </is>
      </c>
      <c r="P43" s="4" t="inlineStr">
        <is>
          <t>Регіональне медіа</t>
        </is>
      </c>
      <c r="Q43" s="5" t="inlineStr">
        <is>
          <t>https://kvnews.ru/news-feed/omskaya-oblast-voshla-v-pyatrku-regionov-s-samym-bolshim-migratsionnym-ottokom</t>
        </is>
      </c>
      <c r="R43" s="4" t="n"/>
    </row>
    <row r="44" ht="52" customHeight="1">
      <c r="A44" s="4" t="n">
        <v>5</v>
      </c>
      <c r="B44" s="4" t="inlineStr">
        <is>
          <t>СФО</t>
        </is>
      </c>
      <c r="C44" s="4" t="inlineStr">
        <is>
          <t>Іркутська область</t>
        </is>
      </c>
      <c r="D44" s="4" t="inlineStr">
        <is>
          <t>2026-01-01</t>
        </is>
      </c>
      <c r="E44" s="4" t="inlineStr">
        <is>
          <t>Період</t>
        </is>
      </c>
      <c r="F44" s="4" t="inlineStr">
        <is>
          <t>Іркутська область</t>
        </is>
      </c>
      <c r="G44" s="4" t="inlineStr">
        <is>
          <t>Відтік молоді</t>
        </is>
      </c>
      <c r="H44" s="4" t="inlineStr">
        <is>
          <t>Статистичні дані</t>
        </is>
      </c>
      <c r="I44" s="4" t="inlineStr">
        <is>
          <t>Внутрішній</t>
        </is>
      </c>
      <c r="J44" s="4" t="inlineStr">
        <is>
          <t>Відтік кадрів із області випереджає приплив — регіон втрачає робочу силу швидше, ніж набирає</t>
        </is>
      </c>
      <c r="K44" s="4" t="n"/>
      <c r="L44" s="4" t="inlineStr">
        <is>
          <t>Аналітики / ЗМІ</t>
        </is>
      </c>
      <c r="M44" s="4" t="inlineStr">
        <is>
          <t>Змішана</t>
        </is>
      </c>
      <c r="N44" s="4" t="inlineStr">
        <is>
          <t>Погоджено</t>
        </is>
      </c>
      <c r="O44" s="4" t="inlineStr">
        <is>
          <t>Дату публікації треба уточнити за джерелом</t>
        </is>
      </c>
      <c r="P44" s="4" t="inlineStr">
        <is>
          <t>Регіональне медіа</t>
        </is>
      </c>
      <c r="Q44" s="5" t="inlineStr">
        <is>
          <t>https://sia.ru/?action=show_news&amp;id=16828417&amp;section=484</t>
        </is>
      </c>
      <c r="R44" s="4" t="n"/>
    </row>
    <row r="45" ht="20" customHeight="1">
      <c r="A45" s="6" t="n"/>
      <c r="B45" s="6" t="inlineStr">
        <is>
          <t>СФО</t>
        </is>
      </c>
      <c r="C45" s="6" t="inlineStr">
        <is>
          <t>Іркутська область</t>
        </is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</row>
    <row r="46" ht="20" customHeight="1">
      <c r="A46" s="6" t="n"/>
      <c r="B46" s="6" t="inlineStr">
        <is>
          <t>СФО</t>
        </is>
      </c>
      <c r="C46" s="6" t="inlineStr">
        <is>
          <t>Іркутська область</t>
        </is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</row>
    <row r="47" ht="20" customHeight="1">
      <c r="A47" s="6" t="n"/>
      <c r="B47" s="6" t="inlineStr">
        <is>
          <t>СФО</t>
        </is>
      </c>
      <c r="C47" s="6" t="inlineStr">
        <is>
          <t>Іркутська область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</row>
    <row r="48" ht="20" customHeight="1">
      <c r="A48" s="6" t="n"/>
      <c r="B48" s="6" t="inlineStr">
        <is>
          <t>СФО</t>
        </is>
      </c>
      <c r="C48" s="6" t="inlineStr">
        <is>
          <t>Іркутська область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</row>
    <row r="49">
      <c r="A49" s="7" t="inlineStr">
        <is>
          <t>Разом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7">
        <f>CONCATENATE("Погоджено: ",COUNTIF(N43:N48,"Погоджено"),"   ·   Межових: ",COUNTIF(N43:N48,"Межовий"),"   ·   Відкинуто: ",COUNTIF(N43:N48,"Відкинуто"),"   ·   Зустрічних: ",COUNTIF(N43:N48,"Зустрічний знак"))</f>
        <v/>
      </c>
      <c r="K49" s="8" t="n"/>
      <c r="L49" s="8" t="n"/>
      <c r="M49" s="8" t="n"/>
      <c r="N49" s="7">
        <f>COUNTIF(N43:N48,"Погоджено")</f>
        <v/>
      </c>
      <c r="O49" s="8" t="n"/>
      <c r="P49" s="8" t="n"/>
      <c r="Q49" s="8" t="n"/>
      <c r="R49" s="8" t="n"/>
    </row>
    <row r="51">
      <c r="A51" s="2" t="inlineStr">
        <is>
          <t>Кемеровська область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52" customHeight="1">
      <c r="A52" s="4" t="n">
        <v>6</v>
      </c>
      <c r="B52" s="4" t="inlineStr">
        <is>
          <t>СФО</t>
        </is>
      </c>
      <c r="C52" s="4" t="inlineStr">
        <is>
          <t>Кемеровська область</t>
        </is>
      </c>
      <c r="D52" s="4" t="inlineStr">
        <is>
          <t>2024-09-08</t>
        </is>
      </c>
      <c r="E52" s="4" t="inlineStr">
        <is>
          <t>Точна</t>
        </is>
      </c>
      <c r="F52" s="4" t="inlineStr">
        <is>
          <t>Кемеровська область</t>
        </is>
      </c>
      <c r="G52" s="4" t="inlineStr">
        <is>
          <t>Відтік молоді</t>
        </is>
      </c>
      <c r="H52" s="4" t="inlineStr">
        <is>
          <t>Статистичні дані</t>
        </is>
      </c>
      <c r="I52" s="4" t="inlineStr">
        <is>
          <t>Внутрішній</t>
        </is>
      </c>
      <c r="J52" s="4" t="inlineStr">
        <is>
          <t>Понад 23 тис. осіб виїхали з Кузбасу з початку 2024 року; область увійшла до п'ятірки регіонів РФ, звідки виїжджає більше, ніж приїжджає. Міграційний спад за рік — −3 223</t>
        </is>
      </c>
      <c r="K52" s="4" t="inlineStr">
        <is>
          <t>23 000+</t>
        </is>
      </c>
      <c r="L52" s="4" t="inlineStr">
        <is>
          <t>Росстат / ЗМІ</t>
        </is>
      </c>
      <c r="M52" s="4" t="inlineStr">
        <is>
          <t>Не названа</t>
        </is>
      </c>
      <c r="N52" s="4" t="inlineStr">
        <is>
          <t>Відкинуто</t>
        </is>
      </c>
      <c r="O52" s="4" t="inlineStr">
        <is>
          <t>Поза періодом (2024) — база порівняння для кузбаського сюжету</t>
        </is>
      </c>
      <c r="P52" s="4" t="inlineStr">
        <is>
          <t>Регіональне медіа</t>
        </is>
      </c>
      <c r="Q52" s="5" t="inlineStr">
        <is>
          <t>https://ngs42.ru/text/gorod/2024/09/08/74062700/</t>
        </is>
      </c>
      <c r="R52" s="5" t="inlineStr">
        <is>
          <t>https://kuzbass.aif.ru/society/ottok_naseleniya_iz_kuzbassa_prodolzhaetsya</t>
        </is>
      </c>
    </row>
    <row r="53" ht="52" customHeight="1">
      <c r="A53" s="4" t="n">
        <v>7</v>
      </c>
      <c r="B53" s="4" t="inlineStr">
        <is>
          <t>СФО</t>
        </is>
      </c>
      <c r="C53" s="4" t="inlineStr">
        <is>
          <t>Кемеровська область</t>
        </is>
      </c>
      <c r="D53" s="4" t="inlineStr">
        <is>
          <t>2026-02-19</t>
        </is>
      </c>
      <c r="E53" s="4" t="inlineStr">
        <is>
          <t>Точна</t>
        </is>
      </c>
      <c r="F53" s="4" t="inlineStr">
        <is>
          <t>Кузбас</t>
        </is>
      </c>
      <c r="G53" s="4" t="inlineStr">
        <is>
          <t>Вугільна криза</t>
        </is>
      </c>
      <c r="H53" s="4" t="inlineStr">
        <is>
          <t>Закриття підприємства</t>
        </is>
      </c>
      <c r="I53" s="4" t="inlineStr">
        <is>
          <t>Н/д</t>
        </is>
      </c>
      <c r="J53" s="4" t="inlineStr">
        <is>
          <t>Ростехнагляд видав вісім протоколів про тимчасову зупинку роботи шахт через невідповідність вимогам промислової безпеки</t>
        </is>
      </c>
      <c r="K53" s="4" t="inlineStr">
        <is>
          <t>8 шахт</t>
        </is>
      </c>
      <c r="L53" s="4" t="inlineStr">
        <is>
          <t>Ростехнагляд</t>
        </is>
      </c>
      <c r="M53" s="4" t="inlineStr">
        <is>
          <t>Федеральна</t>
        </is>
      </c>
      <c r="N53" s="4" t="inlineStr">
        <is>
          <t>Погоджено</t>
        </is>
      </c>
      <c r="O53" s="4" t="inlineStr">
        <is>
          <t>Зупинка підприємств у регіоні мономіст — прямий драйвер виїзду; рішення федерального органу</t>
        </is>
      </c>
      <c r="P53" s="4" t="inlineStr">
        <is>
          <t>Регіональне медіа</t>
        </is>
      </c>
      <c r="Q53" s="5" t="inlineStr">
        <is>
          <t>https://ngs42.ru/text/incidents/2026/02/19/76272623/</t>
        </is>
      </c>
      <c r="R53" s="4" t="n"/>
    </row>
    <row r="54" ht="52" customHeight="1">
      <c r="A54" s="4" t="n">
        <v>8</v>
      </c>
      <c r="B54" s="4" t="inlineStr">
        <is>
          <t>СФО</t>
        </is>
      </c>
      <c r="C54" s="4" t="inlineStr">
        <is>
          <t>Кемеровська область</t>
        </is>
      </c>
      <c r="D54" s="4" t="inlineStr">
        <is>
          <t>2026-03-08</t>
        </is>
      </c>
      <c r="E54" s="4" t="inlineStr">
        <is>
          <t>Точна</t>
        </is>
      </c>
      <c r="F54" s="4" t="inlineStr">
        <is>
          <t>Бєлово</t>
        </is>
      </c>
      <c r="G54" s="4" t="inlineStr">
        <is>
          <t>Вугільна криза</t>
        </is>
      </c>
      <c r="H54" s="4" t="inlineStr">
        <is>
          <t>Закриття підприємства</t>
        </is>
      </c>
      <c r="I54" s="4" t="inlineStr">
        <is>
          <t>Н/д</t>
        </is>
      </c>
      <c r="J54" s="4" t="inlineStr">
        <is>
          <t>Шахта «Чертинская-Коксовая» закрита й переведена на суху консервацію. Причини: обвал цін на вугільний концентрат, зростання собівартості, падіння споживання коксівного вугілля металургією</t>
        </is>
      </c>
      <c r="K54" s="4" t="inlineStr">
        <is>
          <t>1 шахта</t>
        </is>
      </c>
      <c r="L54" s="4" t="inlineStr">
        <is>
          <t>Власник / ЗМІ</t>
        </is>
      </c>
      <c r="M54" s="4" t="inlineStr">
        <is>
          <t>Федеральна</t>
        </is>
      </c>
      <c r="N54" s="4" t="inlineStr">
        <is>
          <t>Погоджено</t>
        </is>
      </c>
      <c r="O54" s="4" t="inlineStr">
        <is>
          <t>Цінова й логістична кон'юнктура вугілля — наслідок санкційного й тарифного контуру центру</t>
        </is>
      </c>
      <c r="P54" s="4" t="inlineStr">
        <is>
          <t>Регіональне медіа</t>
        </is>
      </c>
      <c r="Q54" s="5" t="inlineStr">
        <is>
          <t>https://ngs42.ru/text/job/2026/03/08/76301747/</t>
        </is>
      </c>
      <c r="R54" s="4" t="n"/>
    </row>
    <row r="55" ht="52" customHeight="1">
      <c r="A55" s="4" t="n">
        <v>9</v>
      </c>
      <c r="B55" s="4" t="inlineStr">
        <is>
          <t>СФО</t>
        </is>
      </c>
      <c r="C55" s="4" t="inlineStr">
        <is>
          <t>Кемеровська область</t>
        </is>
      </c>
      <c r="D55" s="4" t="inlineStr">
        <is>
          <t>2026-05-06</t>
        </is>
      </c>
      <c r="E55" s="4" t="inlineStr">
        <is>
          <t>Точна</t>
        </is>
      </c>
      <c r="F55" s="4" t="inlineStr">
        <is>
          <t>Кемеровська область</t>
        </is>
      </c>
      <c r="G55" s="4" t="inlineStr">
        <is>
          <t>Вугільна криза</t>
        </is>
      </c>
      <c r="H55" s="4" t="inlineStr">
        <is>
          <t>Статистичні дані</t>
        </is>
      </c>
      <c r="I55" s="4" t="inlineStr">
        <is>
          <t>Н/д</t>
        </is>
      </c>
      <c r="J55" s="4" t="inlineStr">
        <is>
          <t>За три роки в Кузбасі закрилося 20 вугільних підприємств: зі 160 компаній станом на 01.04.2023 до 140 на 01.04.2026</t>
        </is>
      </c>
      <c r="K55" s="4" t="inlineStr">
        <is>
          <t>20 підприємств</t>
        </is>
      </c>
      <c r="L55" s="4" t="inlineStr">
        <is>
          <t>Обласна влада / ЗМІ</t>
        </is>
      </c>
      <c r="M55" s="4" t="inlineStr">
        <is>
          <t>Федеральна</t>
        </is>
      </c>
      <c r="N55" s="4" t="inlineStr">
        <is>
          <t>Погоджено</t>
        </is>
      </c>
      <c r="O55" s="4" t="n"/>
      <c r="P55" s="4" t="inlineStr">
        <is>
          <t>Регіональне медіа</t>
        </is>
      </c>
      <c r="Q55" s="5" t="inlineStr">
        <is>
          <t>https://ngs42.ru/text/economics/2026/05/06/76404811/</t>
        </is>
      </c>
      <c r="R55" s="5" t="inlineStr">
        <is>
          <t>https://ngs42.ru/text/economics/2026/05/11/76414284/</t>
        </is>
      </c>
    </row>
    <row r="56" ht="52" customHeight="1">
      <c r="A56" s="4" t="n">
        <v>10</v>
      </c>
      <c r="B56" s="4" t="inlineStr">
        <is>
          <t>СФО</t>
        </is>
      </c>
      <c r="C56" s="4" t="inlineStr">
        <is>
          <t>Кемеровська область</t>
        </is>
      </c>
      <c r="D56" s="4" t="inlineStr">
        <is>
          <t>2026-05-15</t>
        </is>
      </c>
      <c r="E56" s="4" t="inlineStr">
        <is>
          <t>Місяць</t>
        </is>
      </c>
      <c r="F56" s="4" t="inlineStr">
        <is>
          <t>Кемеровська область</t>
        </is>
      </c>
      <c r="G56" s="4" t="inlineStr">
        <is>
          <t>Вугільна криза</t>
        </is>
      </c>
      <c r="H56" s="4" t="inlineStr">
        <is>
          <t>Визнання посадовця</t>
        </is>
      </c>
      <c r="I56" s="4" t="inlineStr">
        <is>
          <t>Н/д</t>
        </is>
      </c>
      <c r="J56" s="4" t="inlineStr">
        <is>
          <t>Губернатор Кузбасу публічно повідомив про закриття восьми вугільних підприємств</t>
        </is>
      </c>
      <c r="K56" s="4" t="inlineStr">
        <is>
          <t>8 підприємств</t>
        </is>
      </c>
      <c r="L56" s="4" t="inlineStr">
        <is>
          <t>Губернатор</t>
        </is>
      </c>
      <c r="M56" s="4" t="inlineStr">
        <is>
          <t>Федеральна</t>
        </is>
      </c>
      <c r="N56" s="4" t="inlineStr">
        <is>
          <t>Погоджено</t>
        </is>
      </c>
      <c r="O56" s="4" t="inlineStr">
        <is>
          <t>Визнання посадовця — найцінніший тип підтвердження; точну дату треба уточнити</t>
        </is>
      </c>
      <c r="P56" s="4" t="inlineStr">
        <is>
          <t>Незалежне медіа</t>
        </is>
      </c>
      <c r="Q56" s="5" t="inlineStr">
        <is>
          <t>https://www.kommersant.ru/doc/8571641</t>
        </is>
      </c>
      <c r="R56" s="4" t="n"/>
    </row>
    <row r="57" ht="52" customHeight="1">
      <c r="A57" s="4" t="n">
        <v>11</v>
      </c>
      <c r="B57" s="4" t="inlineStr">
        <is>
          <t>СФО</t>
        </is>
      </c>
      <c r="C57" s="4" t="inlineStr">
        <is>
          <t>Кемеровська область</t>
        </is>
      </c>
      <c r="D57" s="4" t="inlineStr">
        <is>
          <t>2026-05-26</t>
        </is>
      </c>
      <c r="E57" s="4" t="inlineStr">
        <is>
          <t>Точна</t>
        </is>
      </c>
      <c r="F57" s="4" t="inlineStr">
        <is>
          <t>Кемеровська область</t>
        </is>
      </c>
      <c r="G57" s="4" t="inlineStr">
        <is>
          <t>Вугільна криза</t>
        </is>
      </c>
      <c r="H57" s="4" t="inlineStr">
        <is>
          <t>Інше</t>
        </is>
      </c>
      <c r="I57" s="4" t="inlineStr">
        <is>
          <t>Н/д</t>
        </is>
      </c>
      <c r="J57" s="4" t="inlineStr">
        <is>
          <t>Борг «Северного Кузбасса» перед шахтарями зріс до 256 млн руб., СК шукає постраждалих; частина гірників вісім місяців без зарплати. Працівники шахт «Первомайская» і «Березовская» заявляють про непогашені борги</t>
        </is>
      </c>
      <c r="K57" s="4" t="inlineStr">
        <is>
          <t>256 млн руб.</t>
        </is>
      </c>
      <c r="L57" s="4" t="inlineStr">
        <is>
          <t>СК / працівники</t>
        </is>
      </c>
      <c r="M57" s="4" t="inlineStr">
        <is>
          <t>Змішана</t>
        </is>
      </c>
      <c r="N57" s="4" t="inlineStr">
        <is>
          <t>Межовий</t>
        </is>
      </c>
      <c r="O57" s="4" t="inlineStr">
        <is>
          <t>Трудовий спір як драйвер виїзду; прямої заяви про від'їзд у джерелі немає</t>
        </is>
      </c>
      <c r="P57" s="4" t="inlineStr">
        <is>
          <t>Регіональне медіа</t>
        </is>
      </c>
      <c r="Q57" s="5" t="inlineStr">
        <is>
          <t>https://ngs42.ru/text/job/2026/05/26/76441281/</t>
        </is>
      </c>
      <c r="R57" s="4" t="n"/>
    </row>
    <row r="58" ht="20" customHeight="1">
      <c r="A58" s="6" t="n"/>
      <c r="B58" s="6" t="inlineStr">
        <is>
          <t>СФО</t>
        </is>
      </c>
      <c r="C58" s="6" t="inlineStr">
        <is>
          <t>Кемеровська область</t>
        </is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</row>
    <row r="59" ht="20" customHeight="1">
      <c r="A59" s="6" t="n"/>
      <c r="B59" s="6" t="inlineStr">
        <is>
          <t>СФО</t>
        </is>
      </c>
      <c r="C59" s="6" t="inlineStr">
        <is>
          <t>Кемеровська область</t>
        </is>
      </c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</row>
    <row r="60" ht="20" customHeight="1">
      <c r="A60" s="6" t="n"/>
      <c r="B60" s="6" t="inlineStr">
        <is>
          <t>СФО</t>
        </is>
      </c>
      <c r="C60" s="6" t="inlineStr">
        <is>
          <t>Кемеровська область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</row>
    <row r="61" ht="20" customHeight="1">
      <c r="A61" s="6" t="n"/>
      <c r="B61" s="6" t="inlineStr">
        <is>
          <t>СФО</t>
        </is>
      </c>
      <c r="C61" s="6" t="inlineStr">
        <is>
          <t>Кемеровська область</t>
        </is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</row>
    <row r="62">
      <c r="A62" s="7" t="inlineStr">
        <is>
          <t>Разом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7">
        <f>CONCATENATE("Погоджено: ",COUNTIF(N52:N61,"Погоджено"),"   ·   Межових: ",COUNTIF(N52:N61,"Межовий"),"   ·   Відкинуто: ",COUNTIF(N52:N61,"Відкинуто"),"   ·   Зустрічних: ",COUNTIF(N52:N61,"Зустрічний знак"))</f>
        <v/>
      </c>
      <c r="K62" s="8" t="n"/>
      <c r="L62" s="8" t="n"/>
      <c r="M62" s="8" t="n"/>
      <c r="N62" s="7">
        <f>COUNTIF(N52:N61,"Погоджено")</f>
        <v/>
      </c>
      <c r="O62" s="8" t="n"/>
      <c r="P62" s="8" t="n"/>
      <c r="Q62" s="8" t="n"/>
      <c r="R62" s="8" t="n"/>
    </row>
    <row r="64">
      <c r="A64" s="2" t="inlineStr">
        <is>
          <t>Новосибірська область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</row>
    <row r="65" ht="52" customHeight="1">
      <c r="A65" s="4" t="n">
        <v>12</v>
      </c>
      <c r="B65" s="4" t="inlineStr">
        <is>
          <t>СФО</t>
        </is>
      </c>
      <c r="C65" s="4" t="inlineStr">
        <is>
          <t>Новосибірська область</t>
        </is>
      </c>
      <c r="D65" s="4" t="inlineStr">
        <is>
          <t>2024-12-31</t>
        </is>
      </c>
      <c r="E65" s="4" t="inlineStr">
        <is>
          <t>Період</t>
        </is>
      </c>
      <c r="F65" s="4" t="inlineStr">
        <is>
          <t>Новосибірська область</t>
        </is>
      </c>
      <c r="G65" s="4" t="inlineStr">
        <is>
          <t>Інше</t>
        </is>
      </c>
      <c r="H65" s="4" t="inlineStr">
        <is>
          <t>Статистичні дані</t>
        </is>
      </c>
      <c r="I65" s="4" t="inlineStr">
        <is>
          <t>Внутрішній</t>
        </is>
      </c>
      <c r="J65" s="4" t="inlineStr">
        <is>
          <t>За 2024 рік — найбільший міграційний ПРИРІСТ у Сибірському ФО (+2 541). Область стягує населення з сусідніх регіонів</t>
        </is>
      </c>
      <c r="K65" s="4" t="inlineStr">
        <is>
          <t>+2 541</t>
        </is>
      </c>
      <c r="L65" s="4" t="inlineStr">
        <is>
          <t>Росстат</t>
        </is>
      </c>
      <c r="M65" s="4" t="inlineStr">
        <is>
          <t>Не названа</t>
        </is>
      </c>
      <c r="N65" s="4" t="inlineStr">
        <is>
          <t>Зустрічний знак</t>
        </is>
      </c>
      <c r="O65" s="4" t="inlineStr">
        <is>
          <t>Внутрішньосибірський перерозподіл, а не втрата</t>
        </is>
      </c>
      <c r="P65" s="4" t="inlineStr">
        <is>
          <t>Регіональне медіа</t>
        </is>
      </c>
      <c r="Q65" s="5" t="inlineStr">
        <is>
          <t>https://kvnews.ru/news-feed/omskaya-oblast-voshla-v-pyatrku-regionov-s-samym-bolshim-migratsionnym-ottokom</t>
        </is>
      </c>
      <c r="R65" s="4" t="n"/>
    </row>
    <row r="66" ht="52" customHeight="1">
      <c r="A66" s="4" t="n">
        <v>13</v>
      </c>
      <c r="B66" s="4" t="inlineStr">
        <is>
          <t>СФО</t>
        </is>
      </c>
      <c r="C66" s="4" t="inlineStr">
        <is>
          <t>Новосибірська область</t>
        </is>
      </c>
      <c r="D66" s="4" t="inlineStr">
        <is>
          <t>2026-01-01</t>
        </is>
      </c>
      <c r="E66" s="4" t="inlineStr">
        <is>
          <t>Період</t>
        </is>
      </c>
      <c r="F66" s="4" t="inlineStr">
        <is>
          <t>с. Новоселье, Болотнинський р-н</t>
        </is>
      </c>
      <c r="G66" s="4" t="inlineStr">
        <is>
          <t>Оптимізація соціалки</t>
        </is>
      </c>
      <c r="H66" s="4" t="inlineStr">
        <is>
          <t>Ліквідація населеного пункту</t>
        </is>
      </c>
      <c r="I66" s="4" t="inlineStr">
        <is>
          <t>Внутрішній</t>
        </is>
      </c>
      <c r="J66" s="4" t="inlineStr">
        <is>
          <t>Село офіційно скасоване у 2026 році: соціальної інфраструктури не було з 2007 року, жителів — з 2002. Формальна ліквідація як завершення процесу спорожніння</t>
        </is>
      </c>
      <c r="K66" s="4" t="inlineStr">
        <is>
          <t>1 населений пункт</t>
        </is>
      </c>
      <c r="L66" s="4" t="inlineStr">
        <is>
          <t>Обласна влада</t>
        </is>
      </c>
      <c r="M66" s="4" t="inlineStr">
        <is>
          <t>Змішана</t>
        </is>
      </c>
      <c r="N66" s="4" t="inlineStr">
        <is>
          <t>Погоджено</t>
        </is>
      </c>
      <c r="O66" s="4" t="inlineStr">
        <is>
          <t>Точну дату рішення треба уточнити</t>
        </is>
      </c>
      <c r="P66" s="4" t="inlineStr">
        <is>
          <t>Регіональне медіа</t>
        </is>
      </c>
      <c r="Q66" s="5" t="inlineStr">
        <is>
          <t>https://ngs24.ru/text/gorod/2026/08/10/76575873/</t>
        </is>
      </c>
      <c r="R66" s="4" t="n"/>
    </row>
    <row r="67" ht="20" customHeight="1">
      <c r="A67" s="6" t="n"/>
      <c r="B67" s="6" t="inlineStr">
        <is>
          <t>СФО</t>
        </is>
      </c>
      <c r="C67" s="6" t="inlineStr">
        <is>
          <t>Новосибірська область</t>
        </is>
      </c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</row>
    <row r="68" ht="20" customHeight="1">
      <c r="A68" s="6" t="n"/>
      <c r="B68" s="6" t="inlineStr">
        <is>
          <t>СФО</t>
        </is>
      </c>
      <c r="C68" s="6" t="inlineStr">
        <is>
          <t>Новосибірська область</t>
        </is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</row>
    <row r="69" ht="20" customHeight="1">
      <c r="A69" s="6" t="n"/>
      <c r="B69" s="6" t="inlineStr">
        <is>
          <t>СФО</t>
        </is>
      </c>
      <c r="C69" s="6" t="inlineStr">
        <is>
          <t>Новосибірська область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</row>
    <row r="70" ht="20" customHeight="1">
      <c r="A70" s="6" t="n"/>
      <c r="B70" s="6" t="inlineStr">
        <is>
          <t>СФО</t>
        </is>
      </c>
      <c r="C70" s="6" t="inlineStr">
        <is>
          <t>Новосибірська область</t>
        </is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</row>
    <row r="71">
      <c r="A71" s="7" t="inlineStr">
        <is>
          <t>Разом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7">
        <f>CONCATENATE("Погоджено: ",COUNTIF(N65:N70,"Погоджено"),"   ·   Межових: ",COUNTIF(N65:N70,"Межовий"),"   ·   Відкинуто: ",COUNTIF(N65:N70,"Відкинуто"),"   ·   Зустрічних: ",COUNTIF(N65:N70,"Зустрічний знак"))</f>
        <v/>
      </c>
      <c r="K71" s="8" t="n"/>
      <c r="L71" s="8" t="n"/>
      <c r="M71" s="8" t="n"/>
      <c r="N71" s="7">
        <f>COUNTIF(N65:N70,"Погоджено")</f>
        <v/>
      </c>
      <c r="O71" s="8" t="n"/>
      <c r="P71" s="8" t="n"/>
      <c r="Q71" s="8" t="n"/>
      <c r="R71" s="8" t="n"/>
    </row>
    <row r="73">
      <c r="A73" s="2" t="inlineStr">
        <is>
          <t>Омська область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</row>
    <row r="74" ht="52" customHeight="1">
      <c r="A74" s="4" t="n">
        <v>14</v>
      </c>
      <c r="B74" s="4" t="inlineStr">
        <is>
          <t>СФО</t>
        </is>
      </c>
      <c r="C74" s="4" t="inlineStr">
        <is>
          <t>Омська область</t>
        </is>
      </c>
      <c r="D74" s="4" t="inlineStr">
        <is>
          <t>2024-12-31</t>
        </is>
      </c>
      <c r="E74" s="4" t="inlineStr">
        <is>
          <t>Період</t>
        </is>
      </c>
      <c r="F74" s="4" t="inlineStr">
        <is>
          <t>Омська область</t>
        </is>
      </c>
      <c r="G74" s="4" t="inlineStr">
        <is>
          <t>Інше</t>
        </is>
      </c>
      <c r="H74" s="4" t="inlineStr">
        <is>
          <t>Статистичні дані</t>
        </is>
      </c>
      <c r="I74" s="4" t="inlineStr">
        <is>
          <t>Внутрішній</t>
        </is>
      </c>
      <c r="J74" s="4" t="inlineStr">
        <is>
          <t>Міграційний спад 2024 — 1 855 осіб проти 4 877 у 2023, скорочення втричі. З вересня 2024 фіксується щомісячний ПРИРІСТ, за три місяці +505</t>
        </is>
      </c>
      <c r="K74" s="4" t="inlineStr">
        <is>
          <t>−1 855 → +505</t>
        </is>
      </c>
      <c r="L74" s="4" t="inlineStr">
        <is>
          <t>Омскстат</t>
        </is>
      </c>
      <c r="M74" s="4" t="inlineStr">
        <is>
          <t>Не названа</t>
        </is>
      </c>
      <c r="N74" s="4" t="inlineStr">
        <is>
          <t>Зустрічний знак</t>
        </is>
      </c>
      <c r="O74" s="4" t="inlineStr">
        <is>
          <t>Відтік різко скоротився й змінив знак — суперечить гіпотезі ТЗ</t>
        </is>
      </c>
      <c r="P74" s="4" t="inlineStr">
        <is>
          <t>Регіональне медіа</t>
        </is>
      </c>
      <c r="Q74" s="5" t="inlineStr">
        <is>
          <t>https://www.omsk.kp.ru/online/news/6227785/</t>
        </is>
      </c>
      <c r="R74" s="5" t="inlineStr">
        <is>
          <t>https://kvnews.ru/news-feed/omskaya-oblast-voshla-v-pyatrku-regionov-s-samym-bolshim-migratsionnym-ottokom</t>
        </is>
      </c>
    </row>
    <row r="75" ht="52" customHeight="1">
      <c r="A75" s="4" t="n">
        <v>15</v>
      </c>
      <c r="B75" s="4" t="inlineStr">
        <is>
          <t>СФО</t>
        </is>
      </c>
      <c r="C75" s="4" t="inlineStr">
        <is>
          <t>Омська область</t>
        </is>
      </c>
      <c r="D75" s="4" t="inlineStr">
        <is>
          <t>2026-01-01</t>
        </is>
      </c>
      <c r="E75" s="4" t="inlineStr">
        <is>
          <t>Період</t>
        </is>
      </c>
      <c r="F75" s="4" t="inlineStr">
        <is>
          <t>Омська область</t>
        </is>
      </c>
      <c r="G75" s="4" t="inlineStr">
        <is>
          <t>Відтік молоді</t>
        </is>
      </c>
      <c r="H75" s="4" t="inlineStr">
        <is>
          <t>Репортаж ЗМІ</t>
        </is>
      </c>
      <c r="I75" s="4" t="inlineStr">
        <is>
          <t>Внутрішній</t>
        </is>
      </c>
      <c r="J75" s="4" t="inlineStr">
        <is>
          <t>Регіональні ЗМІ повідомляють, що населення області продовжує стрімко убувати</t>
        </is>
      </c>
      <c r="K75" s="4" t="n"/>
      <c r="L75" s="4" t="inlineStr">
        <is>
          <t>ЗМІ</t>
        </is>
      </c>
      <c r="M75" s="4" t="inlineStr">
        <is>
          <t>Не названа</t>
        </is>
      </c>
      <c r="N75" s="4" t="inlineStr">
        <is>
          <t>Межовий</t>
        </is>
      </c>
      <c r="O75" s="4" t="inlineStr">
        <is>
          <t>Суперечить офіційним даним про приріст з вересня 2024 — розбіжність треба звірити; дату уточнити</t>
        </is>
      </c>
      <c r="P75" s="4" t="inlineStr">
        <is>
          <t>Регіональне медіа</t>
        </is>
      </c>
      <c r="Q75" s="5" t="inlineStr">
        <is>
          <t>https://news.mail.ru/society/64369327/</t>
        </is>
      </c>
      <c r="R75" s="4" t="n"/>
    </row>
    <row r="76" ht="20" customHeight="1">
      <c r="A76" s="6" t="n"/>
      <c r="B76" s="6" t="inlineStr">
        <is>
          <t>СФО</t>
        </is>
      </c>
      <c r="C76" s="6" t="inlineStr">
        <is>
          <t>Омська область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</row>
    <row r="77" ht="20" customHeight="1">
      <c r="A77" s="6" t="n"/>
      <c r="B77" s="6" t="inlineStr">
        <is>
          <t>СФО</t>
        </is>
      </c>
      <c r="C77" s="6" t="inlineStr">
        <is>
          <t>Омська область</t>
        </is>
      </c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</row>
    <row r="78" ht="20" customHeight="1">
      <c r="A78" s="6" t="n"/>
      <c r="B78" s="6" t="inlineStr">
        <is>
          <t>СФО</t>
        </is>
      </c>
      <c r="C78" s="6" t="inlineStr">
        <is>
          <t>Омська область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</row>
    <row r="79" ht="20" customHeight="1">
      <c r="A79" s="6" t="n"/>
      <c r="B79" s="6" t="inlineStr">
        <is>
          <t>СФО</t>
        </is>
      </c>
      <c r="C79" s="6" t="inlineStr">
        <is>
          <t>Омська область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</row>
    <row r="80">
      <c r="A80" s="7" t="inlineStr">
        <is>
          <t>Разом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7">
        <f>CONCATENATE("Погоджено: ",COUNTIF(N74:N79,"Погоджено"),"   ·   Межових: ",COUNTIF(N74:N79,"Межовий"),"   ·   Відкинуто: ",COUNTIF(N74:N79,"Відкинуто"),"   ·   Зустрічних: ",COUNTIF(N74:N79,"Зустрічний знак"))</f>
        <v/>
      </c>
      <c r="K80" s="8" t="n"/>
      <c r="L80" s="8" t="n"/>
      <c r="M80" s="8" t="n"/>
      <c r="N80" s="7">
        <f>COUNTIF(N74:N79,"Погоджено")</f>
        <v/>
      </c>
      <c r="O80" s="8" t="n"/>
      <c r="P80" s="8" t="n"/>
      <c r="Q80" s="8" t="n"/>
      <c r="R80" s="8" t="n"/>
    </row>
    <row r="82">
      <c r="A82" s="2" t="inlineStr">
        <is>
          <t>Томська область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</row>
    <row r="83" ht="52" customHeight="1">
      <c r="A83" s="4" t="n">
        <v>16</v>
      </c>
      <c r="B83" s="4" t="inlineStr">
        <is>
          <t>СФО</t>
        </is>
      </c>
      <c r="C83" s="4" t="inlineStr">
        <is>
          <t>Томська область</t>
        </is>
      </c>
      <c r="D83" s="4" t="inlineStr">
        <is>
          <t>2024-12-31</t>
        </is>
      </c>
      <c r="E83" s="4" t="inlineStr">
        <is>
          <t>Період</t>
        </is>
      </c>
      <c r="F83" s="4" t="inlineStr">
        <is>
          <t>Томська область</t>
        </is>
      </c>
      <c r="G83" s="4" t="inlineStr">
        <is>
          <t>Відтік молоді</t>
        </is>
      </c>
      <c r="H83" s="4" t="inlineStr">
        <is>
          <t>Статистичні дані</t>
        </is>
      </c>
      <c r="I83" s="4" t="inlineStr">
        <is>
          <t>Внутрішній</t>
        </is>
      </c>
      <c r="J83" s="4" t="inlineStr">
        <is>
          <t>Населення на 01.01.2025 — 1 039 458 осіб, за рік менше на 4 397. Міграційний спад 2024 — −3 343, другий у Сибірському ФО</t>
        </is>
      </c>
      <c r="K83" s="4" t="inlineStr">
        <is>
          <t>−3 343</t>
        </is>
      </c>
      <c r="L83" s="4" t="inlineStr">
        <is>
          <t>Росстат</t>
        </is>
      </c>
      <c r="M83" s="4" t="inlineStr">
        <is>
          <t>Не названа</t>
        </is>
      </c>
      <c r="N83" s="4" t="inlineStr">
        <is>
          <t>Відкинуто</t>
        </is>
      </c>
      <c r="O83" s="4" t="inlineStr">
        <is>
          <t>Поза періодом (2024). Епізодів 2026 року не знайдено</t>
        </is>
      </c>
      <c r="P83" s="4" t="inlineStr">
        <is>
          <t>Регіональне медіа</t>
        </is>
      </c>
      <c r="Q83" s="5" t="inlineStr">
        <is>
          <t>https://kvnews.ru/news-feed/omskaya-oblast-voshla-v-pyatrku-regionov-s-samym-bolshim-migratsionnym-ottokom</t>
        </is>
      </c>
      <c r="R83" s="4" t="n"/>
    </row>
    <row r="84" ht="20" customHeight="1">
      <c r="A84" s="6" t="n"/>
      <c r="B84" s="6" t="inlineStr">
        <is>
          <t>СФО</t>
        </is>
      </c>
      <c r="C84" s="6" t="inlineStr">
        <is>
          <t>Томська область</t>
        </is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</row>
    <row r="85" ht="20" customHeight="1">
      <c r="A85" s="6" t="n"/>
      <c r="B85" s="6" t="inlineStr">
        <is>
          <t>СФО</t>
        </is>
      </c>
      <c r="C85" s="6" t="inlineStr">
        <is>
          <t>Томська область</t>
        </is>
      </c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</row>
    <row r="86" ht="20" customHeight="1">
      <c r="A86" s="6" t="n"/>
      <c r="B86" s="6" t="inlineStr">
        <is>
          <t>СФО</t>
        </is>
      </c>
      <c r="C86" s="6" t="inlineStr">
        <is>
          <t>Томська область</t>
        </is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</row>
    <row r="87" ht="20" customHeight="1">
      <c r="A87" s="6" t="n"/>
      <c r="B87" s="6" t="inlineStr">
        <is>
          <t>СФО</t>
        </is>
      </c>
      <c r="C87" s="6" t="inlineStr">
        <is>
          <t>Томська область</t>
        </is>
      </c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</row>
    <row r="88">
      <c r="A88" s="7" t="inlineStr">
        <is>
          <t>Разом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7">
        <f>CONCATENATE("Погоджено: ",COUNTIF(N83:N87,"Погоджено"),"   ·   Межових: ",COUNTIF(N83:N87,"Межовий"),"   ·   Відкинуто: ",COUNTIF(N83:N87,"Відкинуто"),"   ·   Зустрічних: ",COUNTIF(N83:N87,"Зустрічний знак"))</f>
        <v/>
      </c>
      <c r="K88" s="8" t="n"/>
      <c r="L88" s="8" t="n"/>
      <c r="M88" s="8" t="n"/>
      <c r="N88" s="7">
        <f>COUNTIF(N83:N87,"Погоджено")</f>
        <v/>
      </c>
      <c r="O88" s="8" t="n"/>
      <c r="P88" s="8" t="n"/>
      <c r="Q88" s="8" t="n"/>
      <c r="R88" s="8" t="n"/>
    </row>
    <row r="90">
      <c r="A90" s="2" t="inlineStr">
        <is>
          <t>Бурятія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</row>
    <row r="91" ht="52" customHeight="1">
      <c r="A91" s="4" t="n">
        <v>17</v>
      </c>
      <c r="B91" s="4" t="inlineStr">
        <is>
          <t>ДФО</t>
        </is>
      </c>
      <c r="C91" s="4" t="inlineStr">
        <is>
          <t>Бурятія</t>
        </is>
      </c>
      <c r="D91" s="4" t="inlineStr">
        <is>
          <t>2024-12-31</t>
        </is>
      </c>
      <c r="E91" s="4" t="inlineStr">
        <is>
          <t>Період</t>
        </is>
      </c>
      <c r="F91" s="4" t="inlineStr">
        <is>
          <t>Бурятія</t>
        </is>
      </c>
      <c r="G91" s="4" t="inlineStr">
        <is>
          <t>Інше</t>
        </is>
      </c>
      <c r="H91" s="4" t="inlineStr">
        <is>
          <t>Статистичні дані</t>
        </is>
      </c>
      <c r="I91" s="4" t="inlineStr">
        <is>
          <t>Внутрішній</t>
        </is>
      </c>
      <c r="J91" s="4" t="inlineStr">
        <is>
          <t>За 2024 рік республіка вийшла в міграційний ПРИРІСТ +1 564. Населення скоротилось на 1,2 тис. (до 970,7 тис.), але виключно через природний спад — померлих більше за народжених на 2 378</t>
        </is>
      </c>
      <c r="K91" s="4" t="inlineStr">
        <is>
          <t>+1 564</t>
        </is>
      </c>
      <c r="L91" s="4" t="inlineStr">
        <is>
          <t>Бурятстат</t>
        </is>
      </c>
      <c r="M91" s="4" t="inlineStr">
        <is>
          <t>Не названа</t>
        </is>
      </c>
      <c r="N91" s="4" t="inlineStr">
        <is>
          <t>Зустрічний знак</t>
        </is>
      </c>
      <c r="O91" s="4" t="inlineStr">
        <is>
          <t>Прямо суперечить гіпотезі ТЗ; важливо, що спад природний, а не міграційний</t>
        </is>
      </c>
      <c r="P91" s="4" t="inlineStr">
        <is>
          <t>Офіційний документ</t>
        </is>
      </c>
      <c r="Q91" s="5" t="inlineStr">
        <is>
          <t>https://03.rosstat.gov.ru/statcurrentevents/document/219479</t>
        </is>
      </c>
      <c r="R91" s="5" t="inlineStr">
        <is>
          <t>https://arigus.tv/news/society/149883-buryatiya-prodolzhaet-vymirat/</t>
        </is>
      </c>
    </row>
    <row r="92" ht="20" customHeight="1">
      <c r="A92" s="6" t="n"/>
      <c r="B92" s="6" t="inlineStr">
        <is>
          <t>ДФО</t>
        </is>
      </c>
      <c r="C92" s="6" t="inlineStr">
        <is>
          <t>Бурятія</t>
        </is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</row>
    <row r="93" ht="20" customHeight="1">
      <c r="A93" s="6" t="n"/>
      <c r="B93" s="6" t="inlineStr">
        <is>
          <t>ДФО</t>
        </is>
      </c>
      <c r="C93" s="6" t="inlineStr">
        <is>
          <t>Бурятія</t>
        </is>
      </c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</row>
    <row r="94" ht="20" customHeight="1">
      <c r="A94" s="6" t="n"/>
      <c r="B94" s="6" t="inlineStr">
        <is>
          <t>ДФО</t>
        </is>
      </c>
      <c r="C94" s="6" t="inlineStr">
        <is>
          <t>Бурятія</t>
        </is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</row>
    <row r="95" ht="20" customHeight="1">
      <c r="A95" s="6" t="n"/>
      <c r="B95" s="6" t="inlineStr">
        <is>
          <t>ДФО</t>
        </is>
      </c>
      <c r="C95" s="6" t="inlineStr">
        <is>
          <t>Бурятія</t>
        </is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</row>
    <row r="96">
      <c r="A96" s="7" t="inlineStr">
        <is>
          <t>Разом</t>
        </is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7">
        <f>CONCATENATE("Погоджено: ",COUNTIF(N91:N95,"Погоджено"),"   ·   Межових: ",COUNTIF(N91:N95,"Межовий"),"   ·   Відкинуто: ",COUNTIF(N91:N95,"Відкинуто"),"   ·   Зустрічних: ",COUNTIF(N91:N95,"Зустрічний знак"))</f>
        <v/>
      </c>
      <c r="K96" s="8" t="n"/>
      <c r="L96" s="8" t="n"/>
      <c r="M96" s="8" t="n"/>
      <c r="N96" s="7">
        <f>COUNTIF(N91:N95,"Погоджено")</f>
        <v/>
      </c>
      <c r="O96" s="8" t="n"/>
      <c r="P96" s="8" t="n"/>
      <c r="Q96" s="8" t="n"/>
      <c r="R96" s="8" t="n"/>
    </row>
    <row r="98">
      <c r="A98" s="2" t="inlineStr">
        <is>
          <t>Саха (Якутія)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</row>
    <row r="99" ht="52" customHeight="1">
      <c r="A99" s="4" t="n">
        <v>18</v>
      </c>
      <c r="B99" s="4" t="inlineStr">
        <is>
          <t>ДФО</t>
        </is>
      </c>
      <c r="C99" s="4" t="inlineStr">
        <is>
          <t>Саха (Якутія)</t>
        </is>
      </c>
      <c r="D99" s="4" t="inlineStr">
        <is>
          <t>2023-12-31</t>
        </is>
      </c>
      <c r="E99" s="4" t="inlineStr">
        <is>
          <t>Період</t>
        </is>
      </c>
      <c r="F99" s="4" t="inlineStr">
        <is>
          <t>Республіка Саха</t>
        </is>
      </c>
      <c r="G99" s="4" t="inlineStr">
        <is>
          <t>Інше</t>
        </is>
      </c>
      <c r="H99" s="4" t="inlineStr">
        <is>
          <t>Статистичні дані</t>
        </is>
      </c>
      <c r="I99" s="4" t="inlineStr">
        <is>
          <t>Внутрішній</t>
        </is>
      </c>
      <c r="J99" s="4" t="inlineStr">
        <is>
          <t>За 2023 рік республіка має міграційний ПРИРІСТ +0,8 на 10 тис. За переписом 2021 приріст показали лише Якутськ і Хангаласький улус, решта 32 улуси — у спаді</t>
        </is>
      </c>
      <c r="K99" s="4" t="inlineStr">
        <is>
          <t>+0,8 / 10 тис.</t>
        </is>
      </c>
      <c r="L99" s="4" t="inlineStr">
        <is>
          <t>Росстат</t>
        </is>
      </c>
      <c r="M99" s="4" t="inlineStr">
        <is>
          <t>Не названа</t>
        </is>
      </c>
      <c r="N99" s="4" t="inlineStr">
        <is>
          <t>Зустрічний знак</t>
        </is>
      </c>
      <c r="O99" s="4" t="inlineStr">
        <is>
          <t>Республіканський плюс приховує внутрішню концентрацію: улуси порожніють на користь Якутська</t>
        </is>
      </c>
      <c r="P99" s="4" t="inlineStr">
        <is>
          <t>Офіційний документ</t>
        </is>
      </c>
      <c r="Q99" s="5" t="inlineStr">
        <is>
          <t>https://rosstat.gov.ru/compendium/document/13283</t>
        </is>
      </c>
      <c r="R99" s="4" t="n"/>
    </row>
    <row r="100" ht="52" customHeight="1">
      <c r="A100" s="4" t="n">
        <v>19</v>
      </c>
      <c r="B100" s="4" t="inlineStr">
        <is>
          <t>ДФО</t>
        </is>
      </c>
      <c r="C100" s="4" t="inlineStr">
        <is>
          <t>Саха (Якутія)</t>
        </is>
      </c>
      <c r="D100" s="4" t="inlineStr">
        <is>
          <t>2026-01-01</t>
        </is>
      </c>
      <c r="E100" s="4" t="inlineStr">
        <is>
          <t>Період</t>
        </is>
      </c>
      <c r="F100" s="4" t="inlineStr">
        <is>
          <t>села на Лені</t>
        </is>
      </c>
      <c r="G100" s="4" t="inlineStr">
        <is>
          <t>Оптимізація соціалки</t>
        </is>
      </c>
      <c r="H100" s="4" t="inlineStr">
        <is>
          <t>Заява депутата</t>
        </is>
      </c>
      <c r="I100" s="4" t="inlineStr">
        <is>
          <t>Внутрішній</t>
        </is>
      </c>
      <c r="J100" s="4" t="inlineStr">
        <is>
          <t>Депутат Володимир Фьодоров назвав спорожніння сіл на Лені «тихою катастрофою»</t>
        </is>
      </c>
      <c r="K100" s="4" t="n"/>
      <c r="L100" s="4" t="inlineStr">
        <is>
          <t>Депутат</t>
        </is>
      </c>
      <c r="M100" s="4" t="inlineStr">
        <is>
          <t>Змішана</t>
        </is>
      </c>
      <c r="N100" s="4" t="inlineStr">
        <is>
          <t>Погоджено</t>
        </is>
      </c>
      <c r="O100" s="4" t="inlineStr">
        <is>
          <t>Заява депутата — цінне підтвердження; точну дату треба уточнити</t>
        </is>
      </c>
      <c r="P100" s="4" t="inlineStr">
        <is>
          <t>Регіональне медіа</t>
        </is>
      </c>
      <c r="Q100" s="5" t="inlineStr">
        <is>
          <t>https://yakutia.info/article/214442</t>
        </is>
      </c>
      <c r="R100" s="4" t="n"/>
    </row>
    <row r="101" ht="52" customHeight="1">
      <c r="A101" s="4" t="n">
        <v>20</v>
      </c>
      <c r="B101" s="4" t="inlineStr">
        <is>
          <t>ДФО</t>
        </is>
      </c>
      <c r="C101" s="4" t="inlineStr">
        <is>
          <t>Саха (Якутія)</t>
        </is>
      </c>
      <c r="D101" s="4" t="inlineStr">
        <is>
          <t>2026-01-01</t>
        </is>
      </c>
      <c r="E101" s="4" t="inlineStr">
        <is>
          <t>Період</t>
        </is>
      </c>
      <c r="F101" s="4" t="inlineStr">
        <is>
          <t>Республіка Саха</t>
        </is>
      </c>
      <c r="G101" s="4" t="inlineStr">
        <is>
          <t>Заміщувальна міграція</t>
        </is>
      </c>
      <c r="H101" s="4" t="inlineStr">
        <is>
          <t>Репортаж ЗМІ</t>
        </is>
      </c>
      <c r="I101" s="4" t="inlineStr">
        <is>
          <t>Змішаний</t>
        </is>
      </c>
      <c r="J101" s="4" t="inlineStr">
        <is>
          <t>«Яктаймс»: республіку покидає корінне населення, кількість мігрантів із СНД зростає. За 2018–2022 у Якутії народилося 19 999 осіб, а виїхало 18 357 уродженців республіки</t>
        </is>
      </c>
      <c r="K101" s="4" t="inlineStr">
        <is>
          <t>18 357 за 5 років</t>
        </is>
      </c>
      <c r="L101" s="4" t="inlineStr">
        <is>
          <t>ЗМІ / Сахастат</t>
        </is>
      </c>
      <c r="M101" s="4" t="inlineStr">
        <is>
          <t>Змішана</t>
        </is>
      </c>
      <c r="N101" s="4" t="inlineStr">
        <is>
          <t>Погоджено</t>
        </is>
      </c>
      <c r="O101" s="4" t="inlineStr">
        <is>
          <t>Заміщувальна міграція прямо передбачена промптом K3; дату публікації уточнити</t>
        </is>
      </c>
      <c r="P101" s="4" t="inlineStr">
        <is>
          <t>Регіональне медіа</t>
        </is>
      </c>
      <c r="Q101" s="5" t="inlineStr">
        <is>
          <t>https://yakutia.info/article/210043</t>
        </is>
      </c>
      <c r="R101" s="4" t="n"/>
    </row>
    <row r="102" ht="52" customHeight="1">
      <c r="A102" s="4" t="n">
        <v>21</v>
      </c>
      <c r="B102" s="4" t="inlineStr">
        <is>
          <t>ДФО</t>
        </is>
      </c>
      <c r="C102" s="4" t="inlineStr">
        <is>
          <t>Саха (Якутія)</t>
        </is>
      </c>
      <c r="D102" s="4" t="inlineStr">
        <is>
          <t>2026-05-29</t>
        </is>
      </c>
      <c r="E102" s="4" t="inlineStr">
        <is>
          <t>Точна</t>
        </is>
      </c>
      <c r="F102" s="4" t="inlineStr">
        <is>
          <t>Республіка Саха</t>
        </is>
      </c>
      <c r="G102" s="4" t="inlineStr">
        <is>
          <t>Оптимізація соціалки</t>
        </is>
      </c>
      <c r="H102" s="4" t="inlineStr">
        <is>
          <t>Експертна оцінка</t>
        </is>
      </c>
      <c r="I102" s="4" t="inlineStr">
        <is>
          <t>Внутрішній</t>
        </is>
      </c>
      <c r="J102" s="4" t="inlineStr">
        <is>
          <t>Матеріал «Села вмирають, але цього не уникнути»: розмова з антропологом про те, чому Ленський міст є умовою виживання республіки. Віддалені південні села страждають через відсутність доріг і газу</t>
        </is>
      </c>
      <c r="K102" s="4" t="n"/>
      <c r="L102" s="4" t="inlineStr">
        <is>
          <t>Антрополог</t>
        </is>
      </c>
      <c r="M102" s="4" t="inlineStr">
        <is>
          <t>Федеральна</t>
        </is>
      </c>
      <c r="N102" s="4" t="inlineStr">
        <is>
          <t>Погоджено</t>
        </is>
      </c>
      <c r="O102" s="4" t="inlineStr">
        <is>
          <t>Транспортна ізоляція як причина відтоку; міст — федеральний проєкт</t>
        </is>
      </c>
      <c r="P102" s="4" t="inlineStr">
        <is>
          <t>Регіональне медіа</t>
        </is>
      </c>
      <c r="Q102" s="5" t="inlineStr">
        <is>
          <t>https://14.ru/text/politics/2026/05/29/76431927/</t>
        </is>
      </c>
      <c r="R102" s="4" t="n"/>
    </row>
    <row r="103" ht="20" customHeight="1">
      <c r="A103" s="6" t="n"/>
      <c r="B103" s="6" t="inlineStr">
        <is>
          <t>ДФО</t>
        </is>
      </c>
      <c r="C103" s="6" t="inlineStr">
        <is>
          <t>Саха (Якутія)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</row>
    <row r="104" ht="20" customHeight="1">
      <c r="A104" s="6" t="n"/>
      <c r="B104" s="6" t="inlineStr">
        <is>
          <t>ДФО</t>
        </is>
      </c>
      <c r="C104" s="6" t="inlineStr">
        <is>
          <t>Саха (Якутія)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</row>
    <row r="105" ht="20" customHeight="1">
      <c r="A105" s="6" t="n"/>
      <c r="B105" s="6" t="inlineStr">
        <is>
          <t>ДФО</t>
        </is>
      </c>
      <c r="C105" s="6" t="inlineStr">
        <is>
          <t>Саха (Якутія)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</row>
    <row r="106" ht="20" customHeight="1">
      <c r="A106" s="6" t="n"/>
      <c r="B106" s="6" t="inlineStr">
        <is>
          <t>ДФО</t>
        </is>
      </c>
      <c r="C106" s="6" t="inlineStr">
        <is>
          <t>Саха (Якутія)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</row>
    <row r="107">
      <c r="A107" s="7" t="inlineStr">
        <is>
          <t>Разом</t>
        </is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7">
        <f>CONCATENATE("Погоджено: ",COUNTIF(N99:N106,"Погоджено"),"   ·   Межових: ",COUNTIF(N99:N106,"Межовий"),"   ·   Відкинуто: ",COUNTIF(N99:N106,"Відкинуто"),"   ·   Зустрічних: ",COUNTIF(N99:N106,"Зустрічний знак"))</f>
        <v/>
      </c>
      <c r="K107" s="8" t="n"/>
      <c r="L107" s="8" t="n"/>
      <c r="M107" s="8" t="n"/>
      <c r="N107" s="7">
        <f>COUNTIF(N99:N106,"Погоджено")</f>
        <v/>
      </c>
      <c r="O107" s="8" t="n"/>
      <c r="P107" s="8" t="n"/>
      <c r="Q107" s="8" t="n"/>
      <c r="R107" s="8" t="n"/>
    </row>
    <row r="109">
      <c r="A109" s="2" t="inlineStr">
        <is>
          <t>Забайкальський край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</row>
    <row r="110" ht="52" customHeight="1">
      <c r="A110" s="4" t="n">
        <v>22</v>
      </c>
      <c r="B110" s="4" t="inlineStr">
        <is>
          <t>ДФО</t>
        </is>
      </c>
      <c r="C110" s="4" t="inlineStr">
        <is>
          <t>Забайкальський край</t>
        </is>
      </c>
      <c r="D110" s="4" t="inlineStr">
        <is>
          <t>2024-11-30</t>
        </is>
      </c>
      <c r="E110" s="4" t="inlineStr">
        <is>
          <t>Період</t>
        </is>
      </c>
      <c r="F110" s="4" t="inlineStr">
        <is>
          <t>Забайкальський край</t>
        </is>
      </c>
      <c r="G110" s="4" t="inlineStr">
        <is>
          <t>Інше</t>
        </is>
      </c>
      <c r="H110" s="4" t="inlineStr">
        <is>
          <t>Статистичні дані</t>
        </is>
      </c>
      <c r="I110" s="4" t="inlineStr">
        <is>
          <t>Внутрішній</t>
        </is>
      </c>
      <c r="J110" s="4" t="inlineStr">
        <is>
          <t>За січень–листопад 2024 міграційний відтік −2 029 осіб, що на 57,3% менше за той самий період 2023 року: прибулих +16,0%, вибулих −14,7%. Довгий контекст: за 22 роки край втратив близько 200 тис. осіб — майже чверть населення</t>
        </is>
      </c>
      <c r="K110" s="4" t="inlineStr">
        <is>
          <t>−2 029 (−57,3%)</t>
        </is>
      </c>
      <c r="L110" s="4" t="inlineStr">
        <is>
          <t>Забайкалкрайстат</t>
        </is>
      </c>
      <c r="M110" s="4" t="inlineStr">
        <is>
          <t>Не названа</t>
        </is>
      </c>
      <c r="N110" s="4" t="inlineStr">
        <is>
          <t>Зустрічний знак</t>
        </is>
      </c>
      <c r="O110" s="4" t="inlineStr">
        <is>
          <t>Відтік різко скорочується — суперечить гіпотезі ТЗ, попри катастрофічний довгостроковий тренд</t>
        </is>
      </c>
      <c r="P110" s="4" t="inlineStr">
        <is>
          <t>Регіональне медіа</t>
        </is>
      </c>
      <c r="Q110" s="5" t="inlineStr">
        <is>
          <t>https://zab.tv/news/72513</t>
        </is>
      </c>
      <c r="R110" s="5" t="inlineStr">
        <is>
          <t>https://www.eastrussia.ru/news/naselenie-zabaykalya-umenshilos-za-schet-migratsii-/</t>
        </is>
      </c>
    </row>
    <row r="111" ht="52" customHeight="1">
      <c r="A111" s="4" t="n">
        <v>23</v>
      </c>
      <c r="B111" s="4" t="inlineStr">
        <is>
          <t>ДФО</t>
        </is>
      </c>
      <c r="C111" s="4" t="inlineStr">
        <is>
          <t>Забайкальський край</t>
        </is>
      </c>
      <c r="D111" s="4" t="inlineStr">
        <is>
          <t>2026-02-16</t>
        </is>
      </c>
      <c r="E111" s="4" t="inlineStr">
        <is>
          <t>Точна</t>
        </is>
      </c>
      <c r="F111" s="4" t="inlineStr">
        <is>
          <t>с. Ульча, Акшинський р-н</t>
        </is>
      </c>
      <c r="G111" s="4" t="inlineStr">
        <is>
          <t>Оптимізація соціалки</t>
        </is>
      </c>
      <c r="H111" s="4" t="inlineStr">
        <is>
          <t>Закриття / злиття школи</t>
        </is>
      </c>
      <c r="I111" s="4" t="inlineStr">
        <is>
          <t>Внутрішній</t>
        </is>
      </c>
      <c r="J111" s="4" t="inlineStr">
        <is>
          <t>Крихітну школу на 50 дітей об'єднали зі школою сусіднього села Урейськ «заради оптимізації». З 2026 року в краї почалася оптимізація шкіл і дитсадків</t>
        </is>
      </c>
      <c r="K111" s="4" t="inlineStr">
        <is>
          <t>50 дітей</t>
        </is>
      </c>
      <c r="L111" s="4" t="inlineStr">
        <is>
          <t>Крайова влада</t>
        </is>
      </c>
      <c r="M111" s="4" t="inlineStr">
        <is>
          <t>Змішана</t>
        </is>
      </c>
      <c r="N111" s="4" t="inlineStr">
        <is>
          <t>Погоджено</t>
        </is>
      </c>
      <c r="O111" s="4" t="inlineStr">
        <is>
          <t>Зникнення школи — типова точка, після якої село втрачає жителів</t>
        </is>
      </c>
      <c r="P111" s="4" t="inlineStr">
        <is>
          <t>Регіональне медіа</t>
        </is>
      </c>
      <c r="Q111" s="5" t="inlineStr">
        <is>
          <t>https://www.chita.ru/text/education/2026/02/16/76266305/</t>
        </is>
      </c>
      <c r="R111" s="4" t="n"/>
    </row>
    <row r="112" ht="52" customHeight="1">
      <c r="A112" s="4" t="n">
        <v>24</v>
      </c>
      <c r="B112" s="4" t="inlineStr">
        <is>
          <t>ДФО</t>
        </is>
      </c>
      <c r="C112" s="4" t="inlineStr">
        <is>
          <t>Забайкальський край</t>
        </is>
      </c>
      <c r="D112" s="4" t="inlineStr">
        <is>
          <t>2026-06-18</t>
        </is>
      </c>
      <c r="E112" s="4" t="inlineStr">
        <is>
          <t>Точна</t>
        </is>
      </c>
      <c r="F112" s="4" t="inlineStr">
        <is>
          <t>Забайкальський край</t>
        </is>
      </c>
      <c r="G112" s="4" t="inlineStr">
        <is>
          <t>Оптимізація соціалки</t>
        </is>
      </c>
      <c r="H112" s="4" t="inlineStr">
        <is>
          <t>Репортаж ЗМІ</t>
        </is>
      </c>
      <c r="I112" s="4" t="inlineStr">
        <is>
          <t>Внутрішній</t>
        </is>
      </c>
      <c r="J112" s="4" t="inlineStr">
        <is>
          <t>Аналітичний розбір: що буде з малими сільськими школами краю в межах оптимізації</t>
        </is>
      </c>
      <c r="K112" s="4" t="n"/>
      <c r="L112" s="4" t="inlineStr">
        <is>
          <t>ЗМІ</t>
        </is>
      </c>
      <c r="M112" s="4" t="inlineStr">
        <is>
          <t>Змішана</t>
        </is>
      </c>
      <c r="N112" s="4" t="inlineStr">
        <is>
          <t>Погоджено</t>
        </is>
      </c>
      <c r="O112" s="4" t="n"/>
      <c r="P112" s="4" t="inlineStr">
        <is>
          <t>Регіональне медіа</t>
        </is>
      </c>
      <c r="Q112" s="5" t="inlineStr">
        <is>
          <t>https://www.chita.ru/text/education/2026/06/18/76483001/</t>
        </is>
      </c>
      <c r="R112" s="4" t="n"/>
    </row>
    <row r="113" ht="52" customHeight="1">
      <c r="A113" s="4" t="n">
        <v>25</v>
      </c>
      <c r="B113" s="4" t="inlineStr">
        <is>
          <t>ДФО</t>
        </is>
      </c>
      <c r="C113" s="4" t="inlineStr">
        <is>
          <t>Забайкальський край</t>
        </is>
      </c>
      <c r="D113" s="4" t="inlineStr">
        <is>
          <t>2026-08-03</t>
        </is>
      </c>
      <c r="E113" s="4" t="inlineStr">
        <is>
          <t>Точна</t>
        </is>
      </c>
      <c r="F113" s="4" t="inlineStr">
        <is>
          <t>села Забайкалля</t>
        </is>
      </c>
      <c r="G113" s="4" t="inlineStr">
        <is>
          <t>Оптимізація соціалки</t>
        </is>
      </c>
      <c r="H113" s="4" t="inlineStr">
        <is>
          <t>Репортаж ЗМІ</t>
        </is>
      </c>
      <c r="I113" s="4" t="inlineStr">
        <is>
          <t>Внутрішній</t>
        </is>
      </c>
      <c r="J113" s="4" t="inlineStr">
        <is>
          <t>Репортаж «Як села Забайкалля втрачають надію на майбутнє»: у селі 110 жителів за офіційними даними і 50–60 за неофіційними, школа стала незатребуваною, дітей возять до Жимбіри; в іншому селі планують лишити лише початкові класи. На рівні Громадської палати обговорюють сценарій скорочення населення краю до 650 тис. осіб до 2050 року</t>
        </is>
      </c>
      <c r="K113" s="4" t="inlineStr">
        <is>
          <t>до 650 тис. до 2050</t>
        </is>
      </c>
      <c r="L113" s="4" t="inlineStr">
        <is>
          <t>ЗМІ / Громадська палата</t>
        </is>
      </c>
      <c r="M113" s="4" t="inlineStr">
        <is>
          <t>Змішана</t>
        </is>
      </c>
      <c r="N113" s="4" t="inlineStr">
        <is>
          <t>Погоджено</t>
        </is>
      </c>
      <c r="O113" s="4" t="inlineStr">
        <is>
          <t>Найдетальніший опис механізму «зникла робота → розбіглося населення» у скоупі</t>
        </is>
      </c>
      <c r="P113" s="4" t="inlineStr">
        <is>
          <t>Регіональне медіа</t>
        </is>
      </c>
      <c r="Q113" s="5" t="inlineStr">
        <is>
          <t>https://www.chita.ru/text/society/2026/08/03/76564570/</t>
        </is>
      </c>
      <c r="R113" s="5" t="inlineStr">
        <is>
          <t>https://ngs24.ru/text/gorod/2026/08/10/76575873/</t>
        </is>
      </c>
    </row>
    <row r="114" ht="20" customHeight="1">
      <c r="A114" s="6" t="n"/>
      <c r="B114" s="6" t="inlineStr">
        <is>
          <t>ДФО</t>
        </is>
      </c>
      <c r="C114" s="6" t="inlineStr">
        <is>
          <t>Забайкальський край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</row>
    <row r="115" ht="20" customHeight="1">
      <c r="A115" s="6" t="n"/>
      <c r="B115" s="6" t="inlineStr">
        <is>
          <t>ДФО</t>
        </is>
      </c>
      <c r="C115" s="6" t="inlineStr">
        <is>
          <t>Забайкальський край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</row>
    <row r="116" ht="20" customHeight="1">
      <c r="A116" s="6" t="n"/>
      <c r="B116" s="6" t="inlineStr">
        <is>
          <t>ДФО</t>
        </is>
      </c>
      <c r="C116" s="6" t="inlineStr">
        <is>
          <t>Забайкальський край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</row>
    <row r="117" ht="20" customHeight="1">
      <c r="A117" s="6" t="n"/>
      <c r="B117" s="6" t="inlineStr">
        <is>
          <t>ДФО</t>
        </is>
      </c>
      <c r="C117" s="6" t="inlineStr">
        <is>
          <t>Забайкальський край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</row>
    <row r="118">
      <c r="A118" s="7" t="inlineStr">
        <is>
          <t>Разом</t>
        </is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7">
        <f>CONCATENATE("Погоджено: ",COUNTIF(N110:N117,"Погоджено"),"   ·   Межових: ",COUNTIF(N110:N117,"Межовий"),"   ·   Відкинуто: ",COUNTIF(N110:N117,"Відкинуто"),"   ·   Зустрічних: ",COUNTIF(N110:N117,"Зустрічний знак"))</f>
        <v/>
      </c>
      <c r="K118" s="8" t="n"/>
      <c r="L118" s="8" t="n"/>
      <c r="M118" s="8" t="n"/>
      <c r="N118" s="7">
        <f>COUNTIF(N110:N117,"Погоджено")</f>
        <v/>
      </c>
      <c r="O118" s="8" t="n"/>
      <c r="P118" s="8" t="n"/>
      <c r="Q118" s="8" t="n"/>
      <c r="R118" s="8" t="n"/>
    </row>
    <row r="120">
      <c r="A120" s="2" t="inlineStr">
        <is>
          <t>Камчатський край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</row>
    <row r="121" ht="52" customHeight="1">
      <c r="A121" s="4" t="n">
        <v>26</v>
      </c>
      <c r="B121" s="4" t="inlineStr">
        <is>
          <t>ДФО</t>
        </is>
      </c>
      <c r="C121" s="4" t="inlineStr">
        <is>
          <t>Камчатський край</t>
        </is>
      </c>
      <c r="D121" s="4" t="inlineStr">
        <is>
          <t>2023-12-31</t>
        </is>
      </c>
      <c r="E121" s="4" t="inlineStr">
        <is>
          <t>Період</t>
        </is>
      </c>
      <c r="F121" s="4" t="inlineStr">
        <is>
          <t>Камчатський край</t>
        </is>
      </c>
      <c r="G121" s="4" t="inlineStr">
        <is>
          <t>Інше</t>
        </is>
      </c>
      <c r="H121" s="4" t="inlineStr">
        <is>
          <t>Статистичні дані</t>
        </is>
      </c>
      <c r="I121" s="4" t="inlineStr">
        <is>
          <t>Внутрішній</t>
        </is>
      </c>
      <c r="J121" s="4" t="inlineStr">
        <is>
          <t>За 2023 рік край показав приріст населення на 421 особу; коефіцієнт міграційного приросту +2,4 на 10 тис.</t>
        </is>
      </c>
      <c r="K121" s="4" t="inlineStr">
        <is>
          <t>+421</t>
        </is>
      </c>
      <c r="L121" s="4" t="inlineStr">
        <is>
          <t>Росстат</t>
        </is>
      </c>
      <c r="M121" s="4" t="inlineStr">
        <is>
          <t>Не названа</t>
        </is>
      </c>
      <c r="N121" s="4" t="inlineStr">
        <is>
          <t>Зустрічний знак</t>
        </is>
      </c>
      <c r="O121" s="4" t="inlineStr">
        <is>
          <t>Суперечить заяві Камчатстату про посилення відтоку — потребує звірки періодів</t>
        </is>
      </c>
      <c r="P121" s="4" t="inlineStr">
        <is>
          <t>Офіційний документ</t>
        </is>
      </c>
      <c r="Q121" s="5" t="inlineStr">
        <is>
          <t>https://rosstat.gov.ru/compendium/document/13283</t>
        </is>
      </c>
      <c r="R121" s="4" t="n"/>
    </row>
    <row r="122" ht="52" customHeight="1">
      <c r="A122" s="4" t="n">
        <v>27</v>
      </c>
      <c r="B122" s="4" t="inlineStr">
        <is>
          <t>ДФО</t>
        </is>
      </c>
      <c r="C122" s="4" t="inlineStr">
        <is>
          <t>Камчатський край</t>
        </is>
      </c>
      <c r="D122" s="4" t="inlineStr">
        <is>
          <t>2026-01-01</t>
        </is>
      </c>
      <c r="E122" s="4" t="inlineStr">
        <is>
          <t>Період</t>
        </is>
      </c>
      <c r="F122" s="4" t="inlineStr">
        <is>
          <t>Камчатський край</t>
        </is>
      </c>
      <c r="G122" s="4" t="inlineStr">
        <is>
          <t>Відтік молоді</t>
        </is>
      </c>
      <c r="H122" s="4" t="inlineStr">
        <is>
          <t>Від'їзд спеціалістів</t>
        </is>
      </c>
      <c r="I122" s="4" t="inlineStr">
        <is>
          <t>Внутрішній</t>
        </is>
      </c>
      <c r="J122" s="4" t="inlineStr">
        <is>
          <t>Камчатстат фіксує посилення відтоку населення, причому виїжджають переважно люди з вищою освітою</t>
        </is>
      </c>
      <c r="K122" s="4" t="n"/>
      <c r="L122" s="4" t="inlineStr">
        <is>
          <t>Камчатстат</t>
        </is>
      </c>
      <c r="M122" s="4" t="inlineStr">
        <is>
          <t>Не названа</t>
        </is>
      </c>
      <c r="N122" s="4" t="inlineStr">
        <is>
          <t>Погоджено</t>
        </is>
      </c>
      <c r="O122" s="4" t="inlineStr">
        <is>
          <t>Від'їзд кваліфікованих кадрів; дату публікації треба уточнити</t>
        </is>
      </c>
      <c r="P122" s="4" t="inlineStr">
        <is>
          <t>Регіональне медіа</t>
        </is>
      </c>
      <c r="Q122" s="5" t="inlineStr">
        <is>
          <t>http://debri-dv.ru/m/article/22226/kamchatstat_ottok_naseleniya_usililsya_uezzhayut_lyudi_s_vysshim_obrazovaniem</t>
        </is>
      </c>
      <c r="R122" s="4" t="n"/>
    </row>
    <row r="123" ht="20" customHeight="1">
      <c r="A123" s="6" t="n"/>
      <c r="B123" s="6" t="inlineStr">
        <is>
          <t>ДФО</t>
        </is>
      </c>
      <c r="C123" s="6" t="inlineStr">
        <is>
          <t>Камчатський край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</row>
    <row r="124" ht="20" customHeight="1">
      <c r="A124" s="6" t="n"/>
      <c r="B124" s="6" t="inlineStr">
        <is>
          <t>ДФО</t>
        </is>
      </c>
      <c r="C124" s="6" t="inlineStr">
        <is>
          <t>Камчатський край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</row>
    <row r="125" ht="20" customHeight="1">
      <c r="A125" s="6" t="n"/>
      <c r="B125" s="6" t="inlineStr">
        <is>
          <t>ДФО</t>
        </is>
      </c>
      <c r="C125" s="6" t="inlineStr">
        <is>
          <t>Камчатський край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</row>
    <row r="126" ht="20" customHeight="1">
      <c r="A126" s="6" t="n"/>
      <c r="B126" s="6" t="inlineStr">
        <is>
          <t>ДФО</t>
        </is>
      </c>
      <c r="C126" s="6" t="inlineStr">
        <is>
          <t>Камчатський край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</row>
    <row r="127">
      <c r="A127" s="7" t="inlineStr">
        <is>
          <t>Разом</t>
        </is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7">
        <f>CONCATENATE("Погоджено: ",COUNTIF(N121:N126,"Погоджено"),"   ·   Межових: ",COUNTIF(N121:N126,"Межовий"),"   ·   Відкинуто: ",COUNTIF(N121:N126,"Відкинуто"),"   ·   Зустрічних: ",COUNTIF(N121:N126,"Зустрічний знак"))</f>
        <v/>
      </c>
      <c r="K127" s="8" t="n"/>
      <c r="L127" s="8" t="n"/>
      <c r="M127" s="8" t="n"/>
      <c r="N127" s="7">
        <f>COUNTIF(N121:N126,"Погоджено")</f>
        <v/>
      </c>
      <c r="O127" s="8" t="n"/>
      <c r="P127" s="8" t="n"/>
      <c r="Q127" s="8" t="n"/>
      <c r="R127" s="8" t="n"/>
    </row>
    <row r="129">
      <c r="A129" s="2" t="inlineStr">
        <is>
          <t>Приморський край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</row>
    <row r="130" ht="52" customHeight="1">
      <c r="A130" s="4" t="n">
        <v>28</v>
      </c>
      <c r="B130" s="4" t="inlineStr">
        <is>
          <t>ДФО</t>
        </is>
      </c>
      <c r="C130" s="4" t="inlineStr">
        <is>
          <t>Приморський край</t>
        </is>
      </c>
      <c r="D130" s="4" t="inlineStr">
        <is>
          <t>2026-01-01</t>
        </is>
      </c>
      <c r="E130" s="4" t="inlineStr">
        <is>
          <t>Період</t>
        </is>
      </c>
      <c r="F130" s="4" t="inlineStr">
        <is>
          <t>Приморський край</t>
        </is>
      </c>
      <c r="G130" s="4" t="inlineStr">
        <is>
          <t>Відтік молоді</t>
        </is>
      </c>
      <c r="H130" s="4" t="inlineStr">
        <is>
          <t>Статистичні дані</t>
        </is>
      </c>
      <c r="I130" s="4" t="inlineStr">
        <is>
          <t>Внутрішній</t>
        </is>
      </c>
      <c r="J130" s="4" t="inlineStr">
        <is>
          <t>За даними Приморскстату край за п'ять років втратив понад 58 тис. осіб</t>
        </is>
      </c>
      <c r="K130" s="4" t="inlineStr">
        <is>
          <t>−58 000 за 5 років</t>
        </is>
      </c>
      <c r="L130" s="4" t="inlineStr">
        <is>
          <t>Приморскстат</t>
        </is>
      </c>
      <c r="M130" s="4" t="inlineStr">
        <is>
          <t>Не названа</t>
        </is>
      </c>
      <c r="N130" s="4" t="inlineStr">
        <is>
          <t>Погоджено</t>
        </is>
      </c>
      <c r="O130" s="4" t="inlineStr">
        <is>
          <t>Оприлюднення статистики у 2026 році — подія інформпростору 2026 року; дату публікації уточнити</t>
        </is>
      </c>
      <c r="P130" s="4" t="inlineStr">
        <is>
          <t>Регіональне медіа</t>
        </is>
      </c>
      <c r="Q130" s="5" t="inlineStr">
        <is>
          <t>https://primamedia.ru/news/2325424/</t>
        </is>
      </c>
      <c r="R130" s="4" t="n"/>
    </row>
    <row r="131" ht="52" customHeight="1">
      <c r="A131" s="4" t="n">
        <v>29</v>
      </c>
      <c r="B131" s="4" t="inlineStr">
        <is>
          <t>ДФО</t>
        </is>
      </c>
      <c r="C131" s="4" t="inlineStr">
        <is>
          <t>Приморський край</t>
        </is>
      </c>
      <c r="D131" s="4" t="inlineStr">
        <is>
          <t>2026-01-01</t>
        </is>
      </c>
      <c r="E131" s="4" t="inlineStr">
        <is>
          <t>Період</t>
        </is>
      </c>
      <c r="F131" s="4" t="inlineStr">
        <is>
          <t>Приморський край</t>
        </is>
      </c>
      <c r="G131" s="4" t="inlineStr">
        <is>
          <t>Відтік молоді</t>
        </is>
      </c>
      <c r="H131" s="4" t="inlineStr">
        <is>
          <t>Статистичні дані</t>
        </is>
      </c>
      <c r="I131" s="4" t="inlineStr">
        <is>
          <t>Внутрішній</t>
        </is>
      </c>
      <c r="J131" s="4" t="inlineStr">
        <is>
          <t>Свіжий звіт Примстату: відтік населення з краю продовжує зростати</t>
        </is>
      </c>
      <c r="K131" s="4" t="n"/>
      <c r="L131" s="4" t="inlineStr">
        <is>
          <t>Примстат</t>
        </is>
      </c>
      <c r="M131" s="4" t="inlineStr">
        <is>
          <t>Не названа</t>
        </is>
      </c>
      <c r="N131" s="4" t="inlineStr">
        <is>
          <t>Погоджено</t>
        </is>
      </c>
      <c r="O131" s="4" t="inlineStr">
        <is>
          <t>Дату публікації уточнити</t>
        </is>
      </c>
      <c r="P131" s="4" t="inlineStr">
        <is>
          <t>Регіональне медіа</t>
        </is>
      </c>
      <c r="Q131" s="5" t="inlineStr">
        <is>
          <t>https://news.mail.ru/society/62276363/</t>
        </is>
      </c>
      <c r="R131" s="4" t="n"/>
    </row>
    <row r="132" ht="52" customHeight="1">
      <c r="A132" s="4" t="n">
        <v>30</v>
      </c>
      <c r="B132" s="4" t="inlineStr">
        <is>
          <t>ДФО</t>
        </is>
      </c>
      <c r="C132" s="4" t="inlineStr">
        <is>
          <t>Приморський край</t>
        </is>
      </c>
      <c r="D132" s="4" t="inlineStr">
        <is>
          <t>2026-05-23</t>
        </is>
      </c>
      <c r="E132" s="4" t="inlineStr">
        <is>
          <t>Точна</t>
        </is>
      </c>
      <c r="F132" s="4" t="inlineStr">
        <is>
          <t>Приморський край</t>
        </is>
      </c>
      <c r="G132" s="4" t="inlineStr">
        <is>
          <t>Інше</t>
        </is>
      </c>
      <c r="H132" s="4" t="inlineStr">
        <is>
          <t>Статистичні дані</t>
        </is>
      </c>
      <c r="I132" s="4" t="inlineStr">
        <is>
          <t>Н/д</t>
        </is>
      </c>
      <c r="J132" s="4" t="inlineStr">
        <is>
          <t>Край увійшов до числа регіонів із падаючою народжуваністю</t>
        </is>
      </c>
      <c r="K132" s="4" t="n"/>
      <c r="L132" s="4" t="inlineStr">
        <is>
          <t>Росстат / ЗМІ</t>
        </is>
      </c>
      <c r="M132" s="4" t="inlineStr">
        <is>
          <t>Не названа</t>
        </is>
      </c>
      <c r="N132" s="4" t="inlineStr">
        <is>
          <t>Межовий</t>
        </is>
      </c>
      <c r="O132" s="4" t="inlineStr">
        <is>
          <t>Народжуваність — природний рух, а не міграція; для K3 не є прямим показником</t>
        </is>
      </c>
      <c r="P132" s="4" t="inlineStr">
        <is>
          <t>Регіональне медіа</t>
        </is>
      </c>
      <c r="Q132" s="5" t="inlineStr">
        <is>
          <t>https://vladnews.ru/2026-05-23/268420/primore_voshlo</t>
        </is>
      </c>
      <c r="R132" s="4" t="n"/>
    </row>
    <row r="133" ht="20" customHeight="1">
      <c r="A133" s="6" t="n"/>
      <c r="B133" s="6" t="inlineStr">
        <is>
          <t>ДФО</t>
        </is>
      </c>
      <c r="C133" s="6" t="inlineStr">
        <is>
          <t>Приморський край</t>
        </is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</row>
    <row r="134" ht="20" customHeight="1">
      <c r="A134" s="6" t="n"/>
      <c r="B134" s="6" t="inlineStr">
        <is>
          <t>ДФО</t>
        </is>
      </c>
      <c r="C134" s="6" t="inlineStr">
        <is>
          <t>Приморський край</t>
        </is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</row>
    <row r="135" ht="20" customHeight="1">
      <c r="A135" s="6" t="n"/>
      <c r="B135" s="6" t="inlineStr">
        <is>
          <t>ДФО</t>
        </is>
      </c>
      <c r="C135" s="6" t="inlineStr">
        <is>
          <t>Приморський край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</row>
    <row r="136" ht="20" customHeight="1">
      <c r="A136" s="6" t="n"/>
      <c r="B136" s="6" t="inlineStr">
        <is>
          <t>ДФО</t>
        </is>
      </c>
      <c r="C136" s="6" t="inlineStr">
        <is>
          <t>Приморський край</t>
        </is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</row>
    <row r="137">
      <c r="A137" s="7" t="inlineStr">
        <is>
          <t>Разом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7">
        <f>CONCATENATE("Погоджено: ",COUNTIF(N130:N136,"Погоджено"),"   ·   Межових: ",COUNTIF(N130:N136,"Межовий"),"   ·   Відкинуто: ",COUNTIF(N130:N136,"Відкинуто"),"   ·   Зустрічних: ",COUNTIF(N130:N136,"Зустрічний знак"))</f>
        <v/>
      </c>
      <c r="K137" s="8" t="n"/>
      <c r="L137" s="8" t="n"/>
      <c r="M137" s="8" t="n"/>
      <c r="N137" s="7">
        <f>COUNTIF(N130:N136,"Погоджено")</f>
        <v/>
      </c>
      <c r="O137" s="8" t="n"/>
      <c r="P137" s="8" t="n"/>
      <c r="Q137" s="8" t="n"/>
      <c r="R137" s="8" t="n"/>
    </row>
    <row r="139">
      <c r="A139" s="2" t="inlineStr">
        <is>
          <t>Хабаровський край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</row>
    <row r="140" ht="46" customHeight="1">
      <c r="A140" s="9" t="n"/>
      <c r="B140" s="10" t="inlineStr">
        <is>
          <t>ДФО</t>
        </is>
      </c>
      <c r="C140" s="10" t="inlineStr">
        <is>
          <t>Хабаровський край</t>
        </is>
      </c>
      <c r="D140" s="9" t="n"/>
      <c r="E140" s="9" t="n"/>
      <c r="F140" s="9" t="n"/>
      <c r="G140" s="9" t="n"/>
      <c r="H140" s="9" t="n"/>
      <c r="I140" s="9" t="n"/>
      <c r="J140" s="11" t="inlineStr">
        <is>
          <t>Епізодів 2026 року не знайдено. З початку 1990-х край втратив близько 20% населення; падіння народжуваності 2025 року зачепило й його.</t>
        </is>
      </c>
      <c r="K140" s="9" t="n"/>
      <c r="L140" s="9" t="n"/>
      <c r="M140" s="9" t="n"/>
      <c r="N140" s="10" t="inlineStr">
        <is>
          <t>—</t>
        </is>
      </c>
      <c r="O140" s="9" t="n"/>
      <c r="P140" s="10" t="inlineStr">
        <is>
          <t>Незалежне медіа</t>
        </is>
      </c>
      <c r="Q140" s="5" t="inlineStr">
        <is>
          <t>https://www.eastrussia.ru/material/demografiya-dalnego-vostoka-razvorachivaya-trend/</t>
        </is>
      </c>
      <c r="R140" s="9" t="n"/>
    </row>
    <row r="141" ht="20" customHeight="1">
      <c r="A141" s="6" t="n"/>
      <c r="B141" s="6" t="inlineStr">
        <is>
          <t>ДФО</t>
        </is>
      </c>
      <c r="C141" s="6" t="inlineStr">
        <is>
          <t>Хабаровський край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</row>
    <row r="142" ht="20" customHeight="1">
      <c r="A142" s="6" t="n"/>
      <c r="B142" s="6" t="inlineStr">
        <is>
          <t>ДФО</t>
        </is>
      </c>
      <c r="C142" s="6" t="inlineStr">
        <is>
          <t>Хабаровський край</t>
        </is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</row>
    <row r="143" ht="20" customHeight="1">
      <c r="A143" s="6" t="n"/>
      <c r="B143" s="6" t="inlineStr">
        <is>
          <t>ДФО</t>
        </is>
      </c>
      <c r="C143" s="6" t="inlineStr">
        <is>
          <t>Хабаровський край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</row>
    <row r="144" ht="20" customHeight="1">
      <c r="A144" s="6" t="n"/>
      <c r="B144" s="6" t="inlineStr">
        <is>
          <t>ДФО</t>
        </is>
      </c>
      <c r="C144" s="6" t="inlineStr">
        <is>
          <t>Хабаровський край</t>
        </is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</row>
    <row r="145">
      <c r="A145" s="7" t="inlineStr">
        <is>
          <t>Разом</t>
        </is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7">
        <f>CONCATENATE("Погоджено: ",COUNTIF(N140:N144,"Погоджено"),"   ·   Межових: ",COUNTIF(N140:N144,"Межовий"),"   ·   Відкинуто: ",COUNTIF(N140:N144,"Відкинуто"),"   ·   Зустрічних: ",COUNTIF(N140:N144,"Зустрічний знак"))</f>
        <v/>
      </c>
      <c r="K145" s="8" t="n"/>
      <c r="L145" s="8" t="n"/>
      <c r="M145" s="8" t="n"/>
      <c r="N145" s="7">
        <f>COUNTIF(N140:N144,"Погоджено")</f>
        <v/>
      </c>
      <c r="O145" s="8" t="n"/>
      <c r="P145" s="8" t="n"/>
      <c r="Q145" s="8" t="n"/>
      <c r="R145" s="8" t="n"/>
    </row>
    <row r="147">
      <c r="A147" s="2" t="inlineStr">
        <is>
          <t>Амурська область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</row>
    <row r="148" ht="52" customHeight="1">
      <c r="A148" s="4" t="n">
        <v>31</v>
      </c>
      <c r="B148" s="4" t="inlineStr">
        <is>
          <t>ДФО</t>
        </is>
      </c>
      <c r="C148" s="4" t="inlineStr">
        <is>
          <t>Амурська область</t>
        </is>
      </c>
      <c r="D148" s="4" t="inlineStr">
        <is>
          <t>2024-12-31</t>
        </is>
      </c>
      <c r="E148" s="4" t="inlineStr">
        <is>
          <t>Період</t>
        </is>
      </c>
      <c r="F148" s="4" t="inlineStr">
        <is>
          <t>Амурська область</t>
        </is>
      </c>
      <c r="G148" s="4" t="inlineStr">
        <is>
          <t>Відтік молоді</t>
        </is>
      </c>
      <c r="H148" s="4" t="inlineStr">
        <is>
          <t>Статистичні дані</t>
        </is>
      </c>
      <c r="I148" s="4" t="inlineStr">
        <is>
          <t>Внутрішній</t>
        </is>
      </c>
      <c r="J148" s="4" t="inlineStr">
        <is>
          <t>Населення області скоротилось на 4 600 осіб до 751 500. З початку 1990-х область втратила близько 20% населення</t>
        </is>
      </c>
      <c r="K148" s="4" t="inlineStr">
        <is>
          <t>−4 600</t>
        </is>
      </c>
      <c r="L148" s="4" t="inlineStr">
        <is>
          <t>Росстат</t>
        </is>
      </c>
      <c r="M148" s="4" t="inlineStr">
        <is>
          <t>Не названа</t>
        </is>
      </c>
      <c r="N148" s="4" t="inlineStr">
        <is>
          <t>Відкинуто</t>
        </is>
      </c>
      <c r="O148" s="4" t="inlineStr">
        <is>
          <t>Поза періодом (2024). Епізодів 2026 року не знайдено</t>
        </is>
      </c>
      <c r="P148" s="4" t="inlineStr">
        <is>
          <t>Незалежне медіа</t>
        </is>
      </c>
      <c r="Q148" s="5" t="inlineStr">
        <is>
          <t>https://www.eastrussia.ru/material/demografiya-dalnego-vostoka-razvorachivaya-trend/</t>
        </is>
      </c>
      <c r="R148" s="4" t="n"/>
    </row>
    <row r="149" ht="20" customHeight="1">
      <c r="A149" s="6" t="n"/>
      <c r="B149" s="6" t="inlineStr">
        <is>
          <t>ДФО</t>
        </is>
      </c>
      <c r="C149" s="6" t="inlineStr">
        <is>
          <t>Амурська область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</row>
    <row r="150" ht="20" customHeight="1">
      <c r="A150" s="6" t="n"/>
      <c r="B150" s="6" t="inlineStr">
        <is>
          <t>ДФО</t>
        </is>
      </c>
      <c r="C150" s="6" t="inlineStr">
        <is>
          <t>Амурська область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</row>
    <row r="151" ht="20" customHeight="1">
      <c r="A151" s="6" t="n"/>
      <c r="B151" s="6" t="inlineStr">
        <is>
          <t>ДФО</t>
        </is>
      </c>
      <c r="C151" s="6" t="inlineStr">
        <is>
          <t>Амурська область</t>
        </is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</row>
    <row r="152" ht="20" customHeight="1">
      <c r="A152" s="6" t="n"/>
      <c r="B152" s="6" t="inlineStr">
        <is>
          <t>ДФО</t>
        </is>
      </c>
      <c r="C152" s="6" t="inlineStr">
        <is>
          <t>Амурська область</t>
        </is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</row>
    <row r="153">
      <c r="A153" s="7" t="inlineStr">
        <is>
          <t>Разом</t>
        </is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7">
        <f>CONCATENATE("Погоджено: ",COUNTIF(N148:N152,"Погоджено"),"   ·   Межових: ",COUNTIF(N148:N152,"Межовий"),"   ·   Відкинуто: ",COUNTIF(N148:N152,"Відкинуто"),"   ·   Зустрічних: ",COUNTIF(N148:N152,"Зустрічний знак"))</f>
        <v/>
      </c>
      <c r="K153" s="8" t="n"/>
      <c r="L153" s="8" t="n"/>
      <c r="M153" s="8" t="n"/>
      <c r="N153" s="7">
        <f>COUNTIF(N148:N152,"Погоджено")</f>
        <v/>
      </c>
      <c r="O153" s="8" t="n"/>
      <c r="P153" s="8" t="n"/>
      <c r="Q153" s="8" t="n"/>
      <c r="R153" s="8" t="n"/>
    </row>
    <row r="155">
      <c r="A155" s="2" t="inlineStr">
        <is>
          <t>Магаданська область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</row>
    <row r="156" ht="52" customHeight="1">
      <c r="A156" s="4" t="n">
        <v>32</v>
      </c>
      <c r="B156" s="4" t="inlineStr">
        <is>
          <t>ДФО</t>
        </is>
      </c>
      <c r="C156" s="4" t="inlineStr">
        <is>
          <t>Магаданська область</t>
        </is>
      </c>
      <c r="D156" s="4" t="inlineStr">
        <is>
          <t>2023-12-31</t>
        </is>
      </c>
      <c r="E156" s="4" t="inlineStr">
        <is>
          <t>Період</t>
        </is>
      </c>
      <c r="F156" s="4" t="inlineStr">
        <is>
          <t>Магаданська область</t>
        </is>
      </c>
      <c r="G156" s="4" t="inlineStr">
        <is>
          <t>Структурний відтік Півночі</t>
        </is>
      </c>
      <c r="H156" s="4" t="inlineStr">
        <is>
          <t>Статистичні дані</t>
        </is>
      </c>
      <c r="I156" s="4" t="inlineStr">
        <is>
          <t>Внутрішній</t>
        </is>
      </c>
      <c r="J156" s="4" t="inlineStr">
        <is>
          <t>Один із двох найвищих показників відтоку в країні — −67,4 на 10 тис. населення. З початку 1990-х область втратила понад половину населення; за 2024 рік мінус 996 осіб до 133 300</t>
        </is>
      </c>
      <c r="K156" s="4" t="inlineStr">
        <is>
          <t>−67,4 / 10 тис.</t>
        </is>
      </c>
      <c r="L156" s="4" t="inlineStr">
        <is>
          <t>Росстат</t>
        </is>
      </c>
      <c r="M156" s="4" t="inlineStr">
        <is>
          <t>Змішана</t>
        </is>
      </c>
      <c r="N156" s="4" t="inlineStr">
        <is>
          <t>Погоджено</t>
        </is>
      </c>
      <c r="O156" s="4" t="inlineStr">
        <is>
          <t>Структурний відтік Півночі: згортання інфраструктури й програм освоєння — рішення центру</t>
        </is>
      </c>
      <c r="P156" s="4" t="inlineStr">
        <is>
          <t>Незалежне медіа</t>
        </is>
      </c>
      <c r="Q156" s="5" t="inlineStr">
        <is>
          <t>https://www.kommersant.ru/doc/4957258</t>
        </is>
      </c>
      <c r="R156" s="5" t="inlineStr">
        <is>
          <t>https://rosstat.gov.ru/compendium/document/13283</t>
        </is>
      </c>
    </row>
    <row r="157" ht="20" customHeight="1">
      <c r="A157" s="6" t="n"/>
      <c r="B157" s="6" t="inlineStr">
        <is>
          <t>ДФО</t>
        </is>
      </c>
      <c r="C157" s="6" t="inlineStr">
        <is>
          <t>Магаданська область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</row>
    <row r="158" ht="20" customHeight="1">
      <c r="A158" s="6" t="n"/>
      <c r="B158" s="6" t="inlineStr">
        <is>
          <t>ДФО</t>
        </is>
      </c>
      <c r="C158" s="6" t="inlineStr">
        <is>
          <t>Магаданська область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</row>
    <row r="159" ht="20" customHeight="1">
      <c r="A159" s="6" t="n"/>
      <c r="B159" s="6" t="inlineStr">
        <is>
          <t>ДФО</t>
        </is>
      </c>
      <c r="C159" s="6" t="inlineStr">
        <is>
          <t>Магаданська область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</row>
    <row r="160" ht="20" customHeight="1">
      <c r="A160" s="6" t="n"/>
      <c r="B160" s="6" t="inlineStr">
        <is>
          <t>ДФО</t>
        </is>
      </c>
      <c r="C160" s="6" t="inlineStr">
        <is>
          <t>Магаданська область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</row>
    <row r="161">
      <c r="A161" s="7" t="inlineStr">
        <is>
          <t>Разом</t>
        </is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7">
        <f>CONCATENATE("Погоджено: ",COUNTIF(N156:N160,"Погоджено"),"   ·   Межових: ",COUNTIF(N156:N160,"Межовий"),"   ·   Відкинуто: ",COUNTIF(N156:N160,"Відкинуто"),"   ·   Зустрічних: ",COUNTIF(N156:N160,"Зустрічний знак"))</f>
        <v/>
      </c>
      <c r="K161" s="8" t="n"/>
      <c r="L161" s="8" t="n"/>
      <c r="M161" s="8" t="n"/>
      <c r="N161" s="7">
        <f>COUNTIF(N156:N160,"Погоджено")</f>
        <v/>
      </c>
      <c r="O161" s="8" t="n"/>
      <c r="P161" s="8" t="n"/>
      <c r="Q161" s="8" t="n"/>
      <c r="R161" s="8" t="n"/>
    </row>
    <row r="163">
      <c r="A163" s="2" t="inlineStr">
        <is>
          <t>Сахалінська область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</row>
    <row r="164" ht="52" customHeight="1">
      <c r="A164" s="4" t="n">
        <v>33</v>
      </c>
      <c r="B164" s="4" t="inlineStr">
        <is>
          <t>ДФО</t>
        </is>
      </c>
      <c r="C164" s="4" t="inlineStr">
        <is>
          <t>Сахалінська область</t>
        </is>
      </c>
      <c r="D164" s="4" t="inlineStr">
        <is>
          <t>2024-12-31</t>
        </is>
      </c>
      <c r="E164" s="4" t="inlineStr">
        <is>
          <t>Період</t>
        </is>
      </c>
      <c r="F164" s="4" t="inlineStr">
        <is>
          <t>Сахалінська область</t>
        </is>
      </c>
      <c r="G164" s="4" t="inlineStr">
        <is>
          <t>Структурний відтік Півночі</t>
        </is>
      </c>
      <c r="H164" s="4" t="inlineStr">
        <is>
          <t>Статистичні дані</t>
        </is>
      </c>
      <c r="I164" s="4" t="inlineStr">
        <is>
          <t>Внутрішній</t>
        </is>
      </c>
      <c r="J164" s="4" t="inlineStr">
        <is>
          <t>Населення скоротилось на 1 200 осіб до 458 000. З початку 1990-х область втратила близько третини населення</t>
        </is>
      </c>
      <c r="K164" s="4" t="inlineStr">
        <is>
          <t>−1 200</t>
        </is>
      </c>
      <c r="L164" s="4" t="inlineStr">
        <is>
          <t>Росстат</t>
        </is>
      </c>
      <c r="M164" s="4" t="inlineStr">
        <is>
          <t>Не названа</t>
        </is>
      </c>
      <c r="N164" s="4" t="inlineStr">
        <is>
          <t>Відкинуто</t>
        </is>
      </c>
      <c r="O164" s="4" t="inlineStr">
        <is>
          <t>Поза періодом (2024). Епізодів 2026 року не знайдено</t>
        </is>
      </c>
      <c r="P164" s="4" t="inlineStr">
        <is>
          <t>Незалежне медіа</t>
        </is>
      </c>
      <c r="Q164" s="5" t="inlineStr">
        <is>
          <t>https://www.eastrussia.ru/material/demografiya-dalnego-vostoka-razvorachivaya-trend/</t>
        </is>
      </c>
      <c r="R164" s="4" t="n"/>
    </row>
    <row r="165" ht="20" customHeight="1">
      <c r="A165" s="6" t="n"/>
      <c r="B165" s="6" t="inlineStr">
        <is>
          <t>ДФО</t>
        </is>
      </c>
      <c r="C165" s="6" t="inlineStr">
        <is>
          <t>Сахалінська область</t>
        </is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</row>
    <row r="166" ht="20" customHeight="1">
      <c r="A166" s="6" t="n"/>
      <c r="B166" s="6" t="inlineStr">
        <is>
          <t>ДФО</t>
        </is>
      </c>
      <c r="C166" s="6" t="inlineStr">
        <is>
          <t>Сахалінська область</t>
        </is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</row>
    <row r="167" ht="20" customHeight="1">
      <c r="A167" s="6" t="n"/>
      <c r="B167" s="6" t="inlineStr">
        <is>
          <t>ДФО</t>
        </is>
      </c>
      <c r="C167" s="6" t="inlineStr">
        <is>
          <t>Сахалінська область</t>
        </is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</row>
    <row r="168" ht="20" customHeight="1">
      <c r="A168" s="6" t="n"/>
      <c r="B168" s="6" t="inlineStr">
        <is>
          <t>ДФО</t>
        </is>
      </c>
      <c r="C168" s="6" t="inlineStr">
        <is>
          <t>Сахалінська область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</row>
    <row r="169">
      <c r="A169" s="7" t="inlineStr">
        <is>
          <t>Разом</t>
        </is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7">
        <f>CONCATENATE("Погоджено: ",COUNTIF(N164:N168,"Погоджено"),"   ·   Межових: ",COUNTIF(N164:N168,"Межовий"),"   ·   Відкинуто: ",COUNTIF(N164:N168,"Відкинуто"),"   ·   Зустрічних: ",COUNTIF(N164:N168,"Зустрічний знак"))</f>
        <v/>
      </c>
      <c r="K169" s="8" t="n"/>
      <c r="L169" s="8" t="n"/>
      <c r="M169" s="8" t="n"/>
      <c r="N169" s="7">
        <f>COUNTIF(N164:N168,"Погоджено")</f>
        <v/>
      </c>
      <c r="O169" s="8" t="n"/>
      <c r="P169" s="8" t="n"/>
      <c r="Q169" s="8" t="n"/>
      <c r="R169" s="8" t="n"/>
    </row>
    <row r="171">
      <c r="A171" s="2" t="inlineStr">
        <is>
          <t>Єврейська АО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</row>
    <row r="172" ht="46" customHeight="1">
      <c r="A172" s="9" t="n"/>
      <c r="B172" s="10" t="inlineStr">
        <is>
          <t>ДФО</t>
        </is>
      </c>
      <c r="C172" s="10" t="inlineStr">
        <is>
          <t>Єврейська АО</t>
        </is>
      </c>
      <c r="D172" s="9" t="n"/>
      <c r="E172" s="9" t="n"/>
      <c r="F172" s="9" t="n"/>
      <c r="G172" s="9" t="n"/>
      <c r="H172" s="9" t="n"/>
      <c r="I172" s="9" t="n"/>
      <c r="J172" s="11" t="inlineStr">
        <is>
          <t>Епізодів 2026 року не знайдено. Коефіцієнт міграційного приросту 2023 — −6,1 на 10 тис., другий найгірший у скоупі після Тиви.</t>
        </is>
      </c>
      <c r="K172" s="9" t="n"/>
      <c r="L172" s="9" t="n"/>
      <c r="M172" s="9" t="n"/>
      <c r="N172" s="10" t="inlineStr">
        <is>
          <t>—</t>
        </is>
      </c>
      <c r="O172" s="9" t="n"/>
      <c r="P172" s="10" t="inlineStr">
        <is>
          <t>Офіційний документ</t>
        </is>
      </c>
      <c r="Q172" s="5" t="inlineStr">
        <is>
          <t>https://rosstat.gov.ru/compendium/document/13283</t>
        </is>
      </c>
      <c r="R172" s="9" t="n"/>
    </row>
    <row r="173" ht="20" customHeight="1">
      <c r="A173" s="6" t="n"/>
      <c r="B173" s="6" t="inlineStr">
        <is>
          <t>ДФО</t>
        </is>
      </c>
      <c r="C173" s="6" t="inlineStr">
        <is>
          <t>Єврейська АО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</row>
    <row r="174" ht="20" customHeight="1">
      <c r="A174" s="6" t="n"/>
      <c r="B174" s="6" t="inlineStr">
        <is>
          <t>ДФО</t>
        </is>
      </c>
      <c r="C174" s="6" t="inlineStr">
        <is>
          <t>Єврейська АО</t>
        </is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</row>
    <row r="175" ht="20" customHeight="1">
      <c r="A175" s="6" t="n"/>
      <c r="B175" s="6" t="inlineStr">
        <is>
          <t>ДФО</t>
        </is>
      </c>
      <c r="C175" s="6" t="inlineStr">
        <is>
          <t>Єврейська АО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</row>
    <row r="176" ht="20" customHeight="1">
      <c r="A176" s="6" t="n"/>
      <c r="B176" s="6" t="inlineStr">
        <is>
          <t>ДФО</t>
        </is>
      </c>
      <c r="C176" s="6" t="inlineStr">
        <is>
          <t>Єврейська АО</t>
        </is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</row>
    <row r="177">
      <c r="A177" s="7" t="inlineStr">
        <is>
          <t>Разом</t>
        </is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7">
        <f>CONCATENATE("Погоджено: ",COUNTIF(N172:N176,"Погоджено"),"   ·   Межових: ",COUNTIF(N172:N176,"Межовий"),"   ·   Відкинуто: ",COUNTIF(N172:N176,"Відкинуто"),"   ·   Зустрічних: ",COUNTIF(N172:N176,"Зустрічний знак"))</f>
        <v/>
      </c>
      <c r="K177" s="8" t="n"/>
      <c r="L177" s="8" t="n"/>
      <c r="M177" s="8" t="n"/>
      <c r="N177" s="7">
        <f>COUNTIF(N172:N176,"Погоджено")</f>
        <v/>
      </c>
      <c r="O177" s="8" t="n"/>
      <c r="P177" s="8" t="n"/>
      <c r="Q177" s="8" t="n"/>
      <c r="R177" s="8" t="n"/>
    </row>
    <row r="179">
      <c r="A179" s="2" t="inlineStr">
        <is>
          <t>Чукотський АО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</row>
    <row r="180" ht="52" customHeight="1">
      <c r="A180" s="4" t="n">
        <v>34</v>
      </c>
      <c r="B180" s="4" t="inlineStr">
        <is>
          <t>ДФО</t>
        </is>
      </c>
      <c r="C180" s="4" t="inlineStr">
        <is>
          <t>Чукотський АО</t>
        </is>
      </c>
      <c r="D180" s="4" t="inlineStr">
        <is>
          <t>2023-12-31</t>
        </is>
      </c>
      <c r="E180" s="4" t="inlineStr">
        <is>
          <t>Період</t>
        </is>
      </c>
      <c r="F180" s="4" t="inlineStr">
        <is>
          <t>Чукотський АО</t>
        </is>
      </c>
      <c r="G180" s="4" t="inlineStr">
        <is>
          <t>Структурний відтік Півночі</t>
        </is>
      </c>
      <c r="H180" s="4" t="inlineStr">
        <is>
          <t>Статистичні дані</t>
        </is>
      </c>
      <c r="I180" s="4" t="inlineStr">
        <is>
          <t>Внутрішній</t>
        </is>
      </c>
      <c r="J180" s="4" t="inlineStr">
        <is>
          <t>Найвищий показник відтоку в країні — −177,4 на 10 тис. населення. З початку 1990-х округ втратив дві третини населення</t>
        </is>
      </c>
      <c r="K180" s="4" t="inlineStr">
        <is>
          <t>−177,4 / 10 тис.</t>
        </is>
      </c>
      <c r="L180" s="4" t="inlineStr">
        <is>
          <t>Росстат</t>
        </is>
      </c>
      <c r="M180" s="4" t="inlineStr">
        <is>
          <t>Змішана</t>
        </is>
      </c>
      <c r="N180" s="4" t="inlineStr">
        <is>
          <t>Погоджено</t>
        </is>
      </c>
      <c r="O180" s="4" t="inlineStr">
        <is>
          <t>Структурний відтік Півночі; при збереженні тренду прогнози дають повне спорожніння за кілька десятиліть</t>
        </is>
      </c>
      <c r="P180" s="4" t="inlineStr">
        <is>
          <t>Незалежне медіа</t>
        </is>
      </c>
      <c r="Q180" s="5" t="inlineStr">
        <is>
          <t>https://www.kommersant.ru/doc/4957258</t>
        </is>
      </c>
      <c r="R180" s="5" t="inlineStr">
        <is>
          <t>https://rosstat.gov.ru/compendium/document/13283</t>
        </is>
      </c>
    </row>
    <row r="181" ht="20" customHeight="1">
      <c r="A181" s="6" t="n"/>
      <c r="B181" s="6" t="inlineStr">
        <is>
          <t>ДФО</t>
        </is>
      </c>
      <c r="C181" s="6" t="inlineStr">
        <is>
          <t>Чукотський АО</t>
        </is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</row>
    <row r="182" ht="20" customHeight="1">
      <c r="A182" s="6" t="n"/>
      <c r="B182" s="6" t="inlineStr">
        <is>
          <t>ДФО</t>
        </is>
      </c>
      <c r="C182" s="6" t="inlineStr">
        <is>
          <t>Чукотський АО</t>
        </is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</row>
    <row r="183" ht="20" customHeight="1">
      <c r="A183" s="6" t="n"/>
      <c r="B183" s="6" t="inlineStr">
        <is>
          <t>ДФО</t>
        </is>
      </c>
      <c r="C183" s="6" t="inlineStr">
        <is>
          <t>Чукотський АО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</row>
    <row r="184" ht="20" customHeight="1">
      <c r="A184" s="6" t="n"/>
      <c r="B184" s="6" t="inlineStr">
        <is>
          <t>ДФО</t>
        </is>
      </c>
      <c r="C184" s="6" t="inlineStr">
        <is>
          <t>Чукотський АО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</row>
    <row r="185">
      <c r="A185" s="7" t="inlineStr">
        <is>
          <t>Разом</t>
        </is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7">
        <f>CONCATENATE("Погоджено: ",COUNTIF(N180:N184,"Погоджено"),"   ·   Межових: ",COUNTIF(N180:N184,"Межовий"),"   ·   Відкинуто: ",COUNTIF(N180:N184,"Відкинуто"),"   ·   Зустрічних: ",COUNTIF(N180:N184,"Зустрічний знак"))</f>
        <v/>
      </c>
      <c r="K185" s="8" t="n"/>
      <c r="L185" s="8" t="n"/>
      <c r="M185" s="8" t="n"/>
      <c r="N185" s="7">
        <f>COUNTIF(N180:N184,"Погоджено")</f>
        <v/>
      </c>
      <c r="O185" s="8" t="n"/>
      <c r="P185" s="8" t="n"/>
      <c r="Q185" s="8" t="n"/>
      <c r="R185" s="8" t="n"/>
    </row>
    <row r="187">
      <c r="A187" s="2" t="inlineStr">
        <is>
          <t>ХМАО — Югра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</row>
    <row r="188" ht="52" customHeight="1">
      <c r="A188" s="4" t="n">
        <v>35</v>
      </c>
      <c r="B188" s="4" t="inlineStr">
        <is>
          <t>УФО</t>
        </is>
      </c>
      <c r="C188" s="4" t="inlineStr">
        <is>
          <t>ХМАО — Югра</t>
        </is>
      </c>
      <c r="D188" s="4" t="inlineStr">
        <is>
          <t>2023-12-31</t>
        </is>
      </c>
      <c r="E188" s="4" t="inlineStr">
        <is>
          <t>Період</t>
        </is>
      </c>
      <c r="F188" s="4" t="inlineStr">
        <is>
          <t>ХМАО — Югра</t>
        </is>
      </c>
      <c r="G188" s="4" t="inlineStr">
        <is>
          <t>Вахтовизація Півночі</t>
        </is>
      </c>
      <c r="H188" s="4" t="inlineStr">
        <is>
          <t>Статистичні дані</t>
        </is>
      </c>
      <c r="I188" s="4" t="inlineStr">
        <is>
          <t>Змішаний</t>
        </is>
      </c>
      <c r="J188" s="4" t="inlineStr">
        <is>
          <t>Найбільший міграційний приріст у скоупі — +12,1 на 10 тис. Це наслідок вахтового й трудового припливу, а не благополуччя постійного населення</t>
        </is>
      </c>
      <c r="K188" s="4" t="inlineStr">
        <is>
          <t>+12,1 / 10 тис.</t>
        </is>
      </c>
      <c r="L188" s="4" t="inlineStr">
        <is>
          <t>Росстат</t>
        </is>
      </c>
      <c r="M188" s="4" t="inlineStr">
        <is>
          <t>Не названа</t>
        </is>
      </c>
      <c r="N188" s="4" t="inlineStr">
        <is>
          <t>Зустрічний знак</t>
        </is>
      </c>
      <c r="O188" s="4" t="inlineStr">
        <is>
          <t>Для K3 потрібне розділення за громадянством — аркуш 2.17 бюлетеня Росстату</t>
        </is>
      </c>
      <c r="P188" s="4" t="inlineStr">
        <is>
          <t>Офіційний документ</t>
        </is>
      </c>
      <c r="Q188" s="5" t="inlineStr">
        <is>
          <t>https://rosstat.gov.ru/compendium/document/13283</t>
        </is>
      </c>
      <c r="R188" s="4" t="n"/>
    </row>
    <row r="189" ht="20" customHeight="1">
      <c r="A189" s="6" t="n"/>
      <c r="B189" s="6" t="inlineStr">
        <is>
          <t>УФО</t>
        </is>
      </c>
      <c r="C189" s="6" t="inlineStr">
        <is>
          <t>ХМАО — Югра</t>
        </is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</row>
    <row r="190" ht="20" customHeight="1">
      <c r="A190" s="6" t="n"/>
      <c r="B190" s="6" t="inlineStr">
        <is>
          <t>УФО</t>
        </is>
      </c>
      <c r="C190" s="6" t="inlineStr">
        <is>
          <t>ХМАО — Югра</t>
        </is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</row>
    <row r="191" ht="20" customHeight="1">
      <c r="A191" s="6" t="n"/>
      <c r="B191" s="6" t="inlineStr">
        <is>
          <t>УФО</t>
        </is>
      </c>
      <c r="C191" s="6" t="inlineStr">
        <is>
          <t>ХМАО — Югра</t>
        </is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</row>
    <row r="192" ht="20" customHeight="1">
      <c r="A192" s="6" t="n"/>
      <c r="B192" s="6" t="inlineStr">
        <is>
          <t>УФО</t>
        </is>
      </c>
      <c r="C192" s="6" t="inlineStr">
        <is>
          <t>ХМАО — Югра</t>
        </is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</row>
    <row r="193">
      <c r="A193" s="7" t="inlineStr">
        <is>
          <t>Разом</t>
        </is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7">
        <f>CONCATENATE("Погоджено: ",COUNTIF(N188:N192,"Погоджено"),"   ·   Межових: ",COUNTIF(N188:N192,"Межовий"),"   ·   Відкинуто: ",COUNTIF(N188:N192,"Відкинуто"),"   ·   Зустрічних: ",COUNTIF(N188:N192,"Зустрічний знак"))</f>
        <v/>
      </c>
      <c r="K193" s="8" t="n"/>
      <c r="L193" s="8" t="n"/>
      <c r="M193" s="8" t="n"/>
      <c r="N193" s="7">
        <f>COUNTIF(N188:N192,"Погоджено")</f>
        <v/>
      </c>
      <c r="O193" s="8" t="n"/>
      <c r="P193" s="8" t="n"/>
      <c r="Q193" s="8" t="n"/>
      <c r="R193" s="8" t="n"/>
    </row>
    <row r="195">
      <c r="A195" s="2" t="inlineStr">
        <is>
          <t>ЯНАО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</row>
    <row r="196" ht="52" customHeight="1">
      <c r="A196" s="4" t="n">
        <v>36</v>
      </c>
      <c r="B196" s="4" t="inlineStr">
        <is>
          <t>УФО</t>
        </is>
      </c>
      <c r="C196" s="4" t="inlineStr">
        <is>
          <t>ЯНАО</t>
        </is>
      </c>
      <c r="D196" s="4" t="inlineStr">
        <is>
          <t>2026-01-01</t>
        </is>
      </c>
      <c r="E196" s="4" t="inlineStr">
        <is>
          <t>Період</t>
        </is>
      </c>
      <c r="F196" s="4" t="inlineStr">
        <is>
          <t>Ноябрьськ, Муравленко, Надим</t>
        </is>
      </c>
      <c r="G196" s="4" t="inlineStr">
        <is>
          <t>Вахтовизація Півночі</t>
        </is>
      </c>
      <c r="H196" s="4" t="inlineStr">
        <is>
          <t>Стратегічний документ</t>
        </is>
      </c>
      <c r="I196" s="4" t="inlineStr">
        <is>
          <t>Змішаний</t>
        </is>
      </c>
      <c r="J196" s="4" t="inlineStr">
        <is>
          <t>Стратегія соціально-економічного розвитку округу прямо називає демографічними ризиками скорочення населення міст із падаючим видобутком (Ноябрьськ, Муравленко, Надим), заміщення місцевих жителів вахтовиками й міграційний відтік працездатного населення</t>
        </is>
      </c>
      <c r="K196" s="4" t="inlineStr">
        <is>
          <t>3 міста</t>
        </is>
      </c>
      <c r="L196" s="4" t="inlineStr">
        <is>
          <t>Уряд ЯНАО</t>
        </is>
      </c>
      <c r="M196" s="4" t="inlineStr">
        <is>
          <t>Змішана</t>
        </is>
      </c>
      <c r="N196" s="4" t="inlineStr">
        <is>
          <t>Погоджено</t>
        </is>
      </c>
      <c r="O196" s="4" t="inlineStr">
        <is>
          <t>Офіційне визнання ризику у стратегічному документі — найсильніший тип підтвердження</t>
        </is>
      </c>
      <c r="P196" s="4" t="inlineStr">
        <is>
          <t>Регіональне медіа</t>
        </is>
      </c>
      <c r="Q196" s="5" t="inlineStr">
        <is>
          <t>https://ura.news/news/1053051878</t>
        </is>
      </c>
      <c r="R196" s="4" t="n"/>
    </row>
    <row r="197" ht="52" customHeight="1">
      <c r="A197" s="4" t="n">
        <v>37</v>
      </c>
      <c r="B197" s="4" t="inlineStr">
        <is>
          <t>УФО</t>
        </is>
      </c>
      <c r="C197" s="4" t="inlineStr">
        <is>
          <t>ЯНАО</t>
        </is>
      </c>
      <c r="D197" s="4" t="inlineStr">
        <is>
          <t>2026-01-01</t>
        </is>
      </c>
      <c r="E197" s="4" t="inlineStr">
        <is>
          <t>Період</t>
        </is>
      </c>
      <c r="F197" s="4" t="inlineStr">
        <is>
          <t>ЯНАО</t>
        </is>
      </c>
      <c r="G197" s="4" t="inlineStr">
        <is>
          <t>Вахтовизація Півночі</t>
        </is>
      </c>
      <c r="H197" s="4" t="inlineStr">
        <is>
          <t>Стратегічний документ</t>
        </is>
      </c>
      <c r="I197" s="4" t="inlineStr">
        <is>
          <t>Внутрішній</t>
        </is>
      </c>
      <c r="J197" s="4" t="inlineStr">
        <is>
          <t>Програма переселення з районів Крайньої Півночі фінансується з бюджету Тюменської області, і придбати житло за нею можна лише в Тюменській області. Умова участі — проживання в ЯНАО до січня 2005 року і стаж 15 років</t>
        </is>
      </c>
      <c r="K197" s="4" t="n"/>
      <c r="L197" s="4" t="inlineStr">
        <is>
          <t>Уряд Тюменської обл.</t>
        </is>
      </c>
      <c r="M197" s="4" t="inlineStr">
        <is>
          <t>Федеральна</t>
        </is>
      </c>
      <c r="N197" s="4" t="inlineStr">
        <is>
          <t>Погоджено</t>
        </is>
      </c>
      <c r="O197" s="4" t="inlineStr">
        <is>
          <t>Виїзд із округу інституційно запрограмований самою конструкцією програми</t>
        </is>
      </c>
      <c r="P197" s="4" t="inlineStr">
        <is>
          <t>Регіональне медіа</t>
        </is>
      </c>
      <c r="Q197" s="5" t="inlineStr">
        <is>
          <t>https://ks-yanao.ru/narrative/obschestvo/instruktsija-jamaltsu-po-pereseleniju-v-drugie-regiony</t>
        </is>
      </c>
      <c r="R197" s="4" t="n"/>
    </row>
    <row r="198" ht="20" customHeight="1">
      <c r="A198" s="6" t="n"/>
      <c r="B198" s="6" t="inlineStr">
        <is>
          <t>УФО</t>
        </is>
      </c>
      <c r="C198" s="6" t="inlineStr">
        <is>
          <t>ЯНАО</t>
        </is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</row>
    <row r="199" ht="20" customHeight="1">
      <c r="A199" s="6" t="n"/>
      <c r="B199" s="6" t="inlineStr">
        <is>
          <t>УФО</t>
        </is>
      </c>
      <c r="C199" s="6" t="inlineStr">
        <is>
          <t>ЯНАО</t>
        </is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</row>
    <row r="200" ht="20" customHeight="1">
      <c r="A200" s="6" t="n"/>
      <c r="B200" s="6" t="inlineStr">
        <is>
          <t>УФО</t>
        </is>
      </c>
      <c r="C200" s="6" t="inlineStr">
        <is>
          <t>ЯНАО</t>
        </is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</row>
    <row r="201" ht="20" customHeight="1">
      <c r="A201" s="6" t="n"/>
      <c r="B201" s="6" t="inlineStr">
        <is>
          <t>УФО</t>
        </is>
      </c>
      <c r="C201" s="6" t="inlineStr">
        <is>
          <t>ЯНАО</t>
        </is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</row>
    <row r="202">
      <c r="A202" s="7" t="inlineStr">
        <is>
          <t>Разом</t>
        </is>
      </c>
      <c r="B202" s="8" t="n"/>
      <c r="C202" s="8" t="n"/>
      <c r="D202" s="8" t="n"/>
      <c r="E202" s="8" t="n"/>
      <c r="F202" s="8" t="n"/>
      <c r="G202" s="8" t="n"/>
      <c r="H202" s="8" t="n"/>
      <c r="I202" s="8" t="n"/>
      <c r="J202" s="7">
        <f>CONCATENATE("Погоджено: ",COUNTIF(N196:N201,"Погоджено"),"   ·   Межових: ",COUNTIF(N196:N201,"Межовий"),"   ·   Відкинуто: ",COUNTIF(N196:N201,"Відкинуто"),"   ·   Зустрічних: ",COUNTIF(N196:N201,"Зустрічний знак"))</f>
        <v/>
      </c>
      <c r="K202" s="8" t="n"/>
      <c r="L202" s="8" t="n"/>
      <c r="M202" s="8" t="n"/>
      <c r="N202" s="7">
        <f>COUNTIF(N196:N201,"Погоджено")</f>
        <v/>
      </c>
      <c r="O202" s="8" t="n"/>
      <c r="P202" s="8" t="n"/>
      <c r="Q202" s="8" t="n"/>
      <c r="R202" s="8" t="n"/>
    </row>
    <row r="204">
      <c r="A204" s="2" t="inlineStr">
        <is>
          <t>Наскрізні (рівень РФ)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</row>
    <row r="205" ht="52" customHeight="1">
      <c r="A205" s="4" t="n">
        <v>38</v>
      </c>
      <c r="B205" s="4" t="inlineStr">
        <is>
          <t>—</t>
        </is>
      </c>
      <c r="C205" s="4" t="inlineStr">
        <is>
          <t>Наскрізні (рівень РФ)</t>
        </is>
      </c>
      <c r="D205" s="4" t="inlineStr">
        <is>
          <t>2026-01-01</t>
        </is>
      </c>
      <c r="E205" s="4" t="inlineStr">
        <is>
          <t>Період</t>
        </is>
      </c>
      <c r="F205" s="4" t="inlineStr">
        <is>
          <t>Російська Федерація</t>
        </is>
      </c>
      <c r="G205" s="4" t="inlineStr">
        <is>
          <t>Бюджетна криза регіонів</t>
        </is>
      </c>
      <c r="H205" s="4" t="inlineStr">
        <is>
          <t>Від'їзд спеціалістів</t>
        </is>
      </c>
      <c r="I205" s="4" t="inlineStr">
        <is>
          <t>Внутрішній</t>
        </is>
      </c>
      <c r="J205" s="4" t="inlineStr">
        <is>
          <t>Дефіцит близько 23 тис. лікарів і 63,6 тис. спеціалістів середньої ланки; великі міста висмоктують кадри з малих територій</t>
        </is>
      </c>
      <c r="K205" s="4" t="inlineStr">
        <is>
          <t>23 тис. лікарів</t>
        </is>
      </c>
      <c r="L205" s="4" t="inlineStr">
        <is>
          <t>Мінздрав</t>
        </is>
      </c>
      <c r="M205" s="4" t="inlineStr">
        <is>
          <t>Федеральна</t>
        </is>
      </c>
      <c r="N205" s="4" t="inlineStr">
        <is>
          <t>Погоджено</t>
        </is>
      </c>
      <c r="O205" s="4" t="n"/>
      <c r="P205" s="4" t="inlineStr">
        <is>
          <t>Незалежне медіа</t>
        </is>
      </c>
      <c r="Q205" s="5" t="inlineStr">
        <is>
          <t>https://www.kommersant.ru/doc/8603928</t>
        </is>
      </c>
      <c r="R205" s="4" t="n"/>
    </row>
    <row r="206" ht="52" customHeight="1">
      <c r="A206" s="4" t="n">
        <v>39</v>
      </c>
      <c r="B206" s="4" t="inlineStr">
        <is>
          <t>—</t>
        </is>
      </c>
      <c r="C206" s="4" t="inlineStr">
        <is>
          <t>Наскрізні (рівень РФ)</t>
        </is>
      </c>
      <c r="D206" s="4" t="inlineStr">
        <is>
          <t>2026-03-01</t>
        </is>
      </c>
      <c r="E206" s="4" t="inlineStr">
        <is>
          <t>Місяць</t>
        </is>
      </c>
      <c r="F206" s="4" t="inlineStr">
        <is>
          <t>Російська Федерація</t>
        </is>
      </c>
      <c r="G206" s="4" t="inlineStr">
        <is>
          <t>Заміщувальна міграція</t>
        </is>
      </c>
      <c r="H206" s="4" t="inlineStr">
        <is>
          <t>Інше</t>
        </is>
      </c>
      <c r="I206" s="4" t="inlineStr">
        <is>
          <t>Зовнішній</t>
        </is>
      </c>
      <c r="J206" s="4" t="inlineStr">
        <is>
          <t>До Росії прибули перші групи мігрантів зі Шрі-Ланки. Програма завезення робочої сили охоплює Індію, Китай, В'єтнам, Шрі-Ланку, Бангладеш, Туреччину, Туркменістан і Філіппіни. Далекосхідний ФО отримує найбільшу квоту серед округів</t>
        </is>
      </c>
      <c r="K206" s="4" t="n"/>
      <c r="L206" s="4" t="inlineStr">
        <is>
          <t>ЗМІ</t>
        </is>
      </c>
      <c r="M206" s="4" t="inlineStr">
        <is>
          <t>Федеральна</t>
        </is>
      </c>
      <c r="N206" s="4" t="inlineStr">
        <is>
          <t>Погоджено</t>
        </is>
      </c>
      <c r="O206" s="4" t="inlineStr">
        <is>
          <t>Заміщувальна міграція прямо передбачена промптом K3</t>
        </is>
      </c>
      <c r="P206" s="4" t="inlineStr">
        <is>
          <t>Незалежне медіа</t>
        </is>
      </c>
      <c r="Q206" s="5" t="inlineStr">
        <is>
          <t>https://expert.ru/obshchestvo/proletarii-vsekh-stran-obedinyatsya-v-rossii</t>
        </is>
      </c>
      <c r="R206" s="4" t="n"/>
    </row>
    <row r="207" ht="52" customHeight="1">
      <c r="A207" s="4" t="n">
        <v>40</v>
      </c>
      <c r="B207" s="4" t="inlineStr">
        <is>
          <t>—</t>
        </is>
      </c>
      <c r="C207" s="4" t="inlineStr">
        <is>
          <t>Наскрізні (рівень РФ)</t>
        </is>
      </c>
      <c r="D207" s="4" t="inlineStr">
        <is>
          <t>2026-03-16</t>
        </is>
      </c>
      <c r="E207" s="4" t="inlineStr">
        <is>
          <t>Точна</t>
        </is>
      </c>
      <c r="F207" s="4" t="inlineStr">
        <is>
          <t>Російська Федерація</t>
        </is>
      </c>
      <c r="G207" s="4" t="inlineStr">
        <is>
          <t>Бюджетна криза регіонів</t>
        </is>
      </c>
      <c r="H207" s="4" t="inlineStr">
        <is>
          <t>Статистичні дані</t>
        </is>
      </c>
      <c r="I207" s="4" t="inlineStr">
        <is>
          <t>Н/д</t>
        </is>
      </c>
      <c r="J207" s="4" t="inlineStr">
        <is>
          <t>Дефіцит бюджетів суб'єктів досяг 1,5 трлн руб. і зачепив 75 регіонів. У IV кварталі 2025 звільнено 4,9 тис. чиновників, 4,6 тис. працівників охорони здоров'я і 3,8 тис. педагогів</t>
        </is>
      </c>
      <c r="K207" s="4" t="inlineStr">
        <is>
          <t>1,5 трлн руб., 75 регіонів</t>
        </is>
      </c>
      <c r="L207" s="4" t="inlineStr">
        <is>
          <t>ЗМІ / Мінфін</t>
        </is>
      </c>
      <c r="M207" s="4" t="inlineStr">
        <is>
          <t>Федеральна</t>
        </is>
      </c>
      <c r="N207" s="4" t="inlineStr">
        <is>
          <t>Погоджено</t>
        </is>
      </c>
      <c r="O207" s="4" t="inlineStr">
        <is>
          <t>Наскрізний драйвер: скорочення бюджетників у регіонах виштовхує кваліфіковані кадри</t>
        </is>
      </c>
      <c r="P207" s="4" t="inlineStr">
        <is>
          <t>Регіональне медіа</t>
        </is>
      </c>
      <c r="Q207" s="5" t="inlineStr">
        <is>
          <t>https://www.e1.ru/text/economics/2026/03/16/76311100/</t>
        </is>
      </c>
      <c r="R207" s="4" t="n"/>
    </row>
    <row r="208" ht="52" customHeight="1">
      <c r="A208" s="4" t="n">
        <v>41</v>
      </c>
      <c r="B208" s="4" t="inlineStr">
        <is>
          <t>—</t>
        </is>
      </c>
      <c r="C208" s="4" t="inlineStr">
        <is>
          <t>Наскрізні (рівень РФ)</t>
        </is>
      </c>
      <c r="D208" s="4" t="inlineStr">
        <is>
          <t>2026-05-01</t>
        </is>
      </c>
      <c r="E208" s="4" t="inlineStr">
        <is>
          <t>Період</t>
        </is>
      </c>
      <c r="F208" s="4" t="inlineStr">
        <is>
          <t>Російська Федерація</t>
        </is>
      </c>
      <c r="G208" s="4" t="inlineStr">
        <is>
          <t>Мобілізація і війна</t>
        </is>
      </c>
      <c r="H208" s="4" t="inlineStr">
        <is>
          <t>Статистичні дані</t>
        </is>
      </c>
      <c r="I208" s="4" t="inlineStr">
        <is>
          <t>Н/д</t>
        </is>
      </c>
      <c r="J208" s="4" t="inlineStr">
        <is>
          <t>Навесні 2026 потік нових рекрутів на контракт обвалився на третину порівняно з тим самим періодом 2025 року</t>
        </is>
      </c>
      <c r="K208" s="4" t="inlineStr">
        <is>
          <t>−33%</t>
        </is>
      </c>
      <c r="L208" s="4" t="inlineStr">
        <is>
          <t>ЗМІ</t>
        </is>
      </c>
      <c r="M208" s="4" t="inlineStr">
        <is>
          <t>Федеральна</t>
        </is>
      </c>
      <c r="N208" s="4" t="inlineStr">
        <is>
          <t>Межовий</t>
        </is>
      </c>
      <c r="O208" s="4" t="inlineStr">
        <is>
          <t>Мобілізаційний тиск як контекст; прямої прив'язки до виїзду з конкретних регіонів немає</t>
        </is>
      </c>
      <c r="P208" s="4" t="inlineStr">
        <is>
          <t>Незалежне медіа</t>
        </is>
      </c>
      <c r="Q208" s="5" t="inlineStr">
        <is>
          <t>https://verstka.media/kak-rossiiskie-vlasti-pytayutsya-reshit-problemu-nehvatki-kontraktnikov</t>
        </is>
      </c>
      <c r="R208" s="4" t="n"/>
    </row>
    <row r="209" ht="52" customHeight="1">
      <c r="A209" s="4" t="n">
        <v>42</v>
      </c>
      <c r="B209" s="4" t="inlineStr">
        <is>
          <t>—</t>
        </is>
      </c>
      <c r="C209" s="4" t="inlineStr">
        <is>
          <t>Наскрізні (рівень РФ)</t>
        </is>
      </c>
      <c r="D209" s="4" t="inlineStr">
        <is>
          <t>2026-08-12</t>
        </is>
      </c>
      <c r="E209" s="4" t="inlineStr">
        <is>
          <t>Точна</t>
        </is>
      </c>
      <c r="F209" s="4" t="inlineStr">
        <is>
          <t>Російська Федерація</t>
        </is>
      </c>
      <c r="G209" s="4" t="inlineStr">
        <is>
          <t>Мобілізація і війна</t>
        </is>
      </c>
      <c r="H209" s="4" t="inlineStr">
        <is>
          <t>Інше</t>
        </is>
      </c>
      <c r="I209" s="4" t="inlineStr">
        <is>
          <t>Н/д</t>
        </is>
      </c>
      <c r="J209" s="4" t="inlineStr">
        <is>
          <t>Повідомлення про «приховану мобілізацію»: в окремих регіонах чоловіків доставляють до пунктів відбору й змушують підписувати контракт з Міноборони</t>
        </is>
      </c>
      <c r="K209" s="4" t="n"/>
      <c r="L209" s="4" t="inlineStr">
        <is>
          <t>ЗМІ</t>
        </is>
      </c>
      <c r="M209" s="4" t="inlineStr">
        <is>
          <t>Федеральна</t>
        </is>
      </c>
      <c r="N209" s="4" t="inlineStr">
        <is>
          <t>Межовий</t>
        </is>
      </c>
      <c r="O209" s="4" t="inlineStr">
        <is>
          <t>Драйвер виїзду за формою, але задокументованих випадків від'їзду через це у скоупі не знайдено</t>
        </is>
      </c>
      <c r="P209" s="4" t="inlineStr">
        <is>
          <t>Незалежне медіа</t>
        </is>
      </c>
      <c r="Q209" s="5" t="inlineStr">
        <is>
          <t>https://www.vbr.ru/novosti/politika/2026/08/12/skritaya-mobilizaciya-2026/</t>
        </is>
      </c>
      <c r="R209" s="4" t="n"/>
    </row>
    <row r="210" ht="20" customHeight="1">
      <c r="A210" s="6" t="n"/>
      <c r="B210" s="6" t="inlineStr">
        <is>
          <t>—</t>
        </is>
      </c>
      <c r="C210" s="6" t="inlineStr">
        <is>
          <t>Наскрізні (рівень РФ)</t>
        </is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</row>
    <row r="211" ht="20" customHeight="1">
      <c r="A211" s="6" t="n"/>
      <c r="B211" s="6" t="inlineStr">
        <is>
          <t>—</t>
        </is>
      </c>
      <c r="C211" s="6" t="inlineStr">
        <is>
          <t>Наскрізні (рівень РФ)</t>
        </is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</row>
    <row r="212" ht="20" customHeight="1">
      <c r="A212" s="6" t="n"/>
      <c r="B212" s="6" t="inlineStr">
        <is>
          <t>—</t>
        </is>
      </c>
      <c r="C212" s="6" t="inlineStr">
        <is>
          <t>Наскрізні (рівень РФ)</t>
        </is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</row>
    <row r="213" ht="20" customHeight="1">
      <c r="A213" s="6" t="n"/>
      <c r="B213" s="6" t="inlineStr">
        <is>
          <t>—</t>
        </is>
      </c>
      <c r="C213" s="6" t="inlineStr">
        <is>
          <t>Наскрізні (рівень РФ)</t>
        </is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</row>
    <row r="214">
      <c r="A214" s="7" t="inlineStr">
        <is>
          <t>Разом</t>
        </is>
      </c>
      <c r="B214" s="8" t="n"/>
      <c r="C214" s="8" t="n"/>
      <c r="D214" s="8" t="n"/>
      <c r="E214" s="8" t="n"/>
      <c r="F214" s="8" t="n"/>
      <c r="G214" s="8" t="n"/>
      <c r="H214" s="8" t="n"/>
      <c r="I214" s="8" t="n"/>
      <c r="J214" s="7">
        <f>CONCATENATE("Погоджено: ",COUNTIF(N205:N213,"Погоджено"),"   ·   Межових: ",COUNTIF(N205:N213,"Межовий"),"   ·   Відкинуто: ",COUNTIF(N205:N213,"Відкинуто"),"   ·   Зустрічних: ",COUNTIF(N205:N213,"Зустрічний знак"))</f>
        <v/>
      </c>
      <c r="K214" s="8" t="n"/>
      <c r="L214" s="8" t="n"/>
      <c r="M214" s="8" t="n"/>
      <c r="N214" s="7">
        <f>COUNTIF(N205:N213,"Погоджено")</f>
        <v/>
      </c>
      <c r="O214" s="8" t="n"/>
      <c r="P214" s="8" t="n"/>
      <c r="Q214" s="8" t="n"/>
      <c r="R214" s="8" t="n"/>
    </row>
  </sheetData>
  <autoFilter ref="A1:R215"/>
  <conditionalFormatting sqref="N2:N416">
    <cfRule type="cellIs" priority="1" operator="equal" dxfId="0">
      <formula>"Погоджено"</formula>
    </cfRule>
    <cfRule type="cellIs" priority="2" operator="equal" dxfId="1">
      <formula>"Межовий"</formula>
    </cfRule>
    <cfRule type="cellIs" priority="3" operator="equal" dxfId="2">
      <formula>"Відкинуто"</formula>
    </cfRule>
    <cfRule type="cellIs" priority="4" operator="equal" dxfId="3">
      <formula>"Зустрічний знак"</formula>
    </cfRule>
  </conditionalFormatting>
  <conditionalFormatting sqref="P2:P416">
    <cfRule type="cellIs" priority="5" operator="equal" dxfId="2">
      <formula>"Соцмережа / форум"</formula>
    </cfRule>
    <cfRule type="cellIs" priority="6" operator="equal" dxfId="2">
      <formula>"Джерело відсутнє"</formula>
    </cfRule>
  </conditionalFormatting>
  <dataValidations count="7">
    <dataValidation sqref="E2:E416" showDropDown="0" showInputMessage="0" showErrorMessage="0" allowBlank="1" promptTitle="Значення зі списку" prompt="Точність дати" type="list">
      <formula1>"Точна,Місяць,Період,Н/д"</formula1>
    </dataValidation>
    <dataValidation sqref="G2:G416" showDropDown="0" showInputMessage="0" showErrorMessage="0" allowBlank="1" promptTitle="Значення зі списку" prompt="Механізм відтоку" type="list">
      <formula1>"Вугільна криза,Оптимізація соціалки,Бюджетна криза регіонів,Заміщувальна міграція,Вахтовизація Півночі,Мобілізація і війна,Структурний відтік Півночі,Відтік молоді,Інше"</formula1>
    </dataValidation>
    <dataValidation sqref="H2:H416" showDropDown="0" showInputMessage="0" showErrorMessage="0" allowBlank="1" promptTitle="Значення зі списку" prompt="Тип епізоду" type="list">
      <formula1>"Закриття підприємства,Закриття / злиття школи,Ліквідація населеного пункту,Визнання посадовця,Заява депутата,Експертна оцінка,Статистичні дані,Від'їзд спеціалістів,Стратегічний документ,Репортаж ЗМІ,Інше"</formula1>
    </dataValidation>
    <dataValidation sqref="I2:I416" showDropDown="0" showInputMessage="0" showErrorMessage="0" allowBlank="1" promptTitle="Значення зі списку" prompt="Напрям відтоку" type="list">
      <formula1>"Внутрішній,Зовнішній,Змішаний,Н/д"</formula1>
    </dataValidation>
    <dataValidation sqref="M2:M416" showDropDown="0" showInputMessage="0" showErrorMessage="0" allowBlank="1" promptTitle="Значення зі списку" prompt="Причина, названа в джерелі" type="list">
      <formula1>"Федеральна,Регіональна,Змішана,Не названа"</formula1>
    </dataValidation>
    <dataValidation sqref="N2:N416" showDropDown="0" showInputMessage="0" showErrorMessage="0" allowBlank="1" promptTitle="Значення зі списку" prompt="Погоджено / Межовий / Відкинуто / Зустрічний знак" type="list">
      <formula1>"Погоджено,Межовий,Відкинуто,Зустрічний знак"</formula1>
    </dataValidation>
    <dataValidation sqref="P2:P416" showDropDown="0" showInputMessage="0" showErrorMessage="0" allowBlank="1" promptTitle="Значення зі списку" prompt="Тип джерела (за Джерелом 1)" type="list">
      <formula1>"Незалежне медіа,Регіональне медіа,Партійне / громадське,Державне,Соцмережа / форум,Довідкове (вікі),Наукова публікація,Офіційний документ,Джерело відсутнє"</formula1>
    </dataValidation>
  </dataValidations>
  <hyperlinks>
    <hyperlink xmlns:r="http://schemas.openxmlformats.org/officeDocument/2006/relationships" ref="Q3" r:id="rId1"/>
    <hyperlink xmlns:r="http://schemas.openxmlformats.org/officeDocument/2006/relationships" ref="Q11" r:id="rId2"/>
    <hyperlink xmlns:r="http://schemas.openxmlformats.org/officeDocument/2006/relationships" ref="Q19" r:id="rId3"/>
    <hyperlink xmlns:r="http://schemas.openxmlformats.org/officeDocument/2006/relationships" ref="R19" r:id="rId4"/>
    <hyperlink xmlns:r="http://schemas.openxmlformats.org/officeDocument/2006/relationships" ref="Q27" r:id="rId5"/>
    <hyperlink xmlns:r="http://schemas.openxmlformats.org/officeDocument/2006/relationships" ref="Q35" r:id="rId6"/>
    <hyperlink xmlns:r="http://schemas.openxmlformats.org/officeDocument/2006/relationships" ref="Q43" r:id="rId7"/>
    <hyperlink xmlns:r="http://schemas.openxmlformats.org/officeDocument/2006/relationships" ref="Q44" r:id="rId8"/>
    <hyperlink xmlns:r="http://schemas.openxmlformats.org/officeDocument/2006/relationships" ref="Q52" r:id="rId9"/>
    <hyperlink xmlns:r="http://schemas.openxmlformats.org/officeDocument/2006/relationships" ref="R52" r:id="rId10"/>
    <hyperlink xmlns:r="http://schemas.openxmlformats.org/officeDocument/2006/relationships" ref="Q53" r:id="rId11"/>
    <hyperlink xmlns:r="http://schemas.openxmlformats.org/officeDocument/2006/relationships" ref="Q54" r:id="rId12"/>
    <hyperlink xmlns:r="http://schemas.openxmlformats.org/officeDocument/2006/relationships" ref="Q55" r:id="rId13"/>
    <hyperlink xmlns:r="http://schemas.openxmlformats.org/officeDocument/2006/relationships" ref="R55" r:id="rId14"/>
    <hyperlink xmlns:r="http://schemas.openxmlformats.org/officeDocument/2006/relationships" ref="Q56" r:id="rId15"/>
    <hyperlink xmlns:r="http://schemas.openxmlformats.org/officeDocument/2006/relationships" ref="Q57" r:id="rId16"/>
    <hyperlink xmlns:r="http://schemas.openxmlformats.org/officeDocument/2006/relationships" ref="Q65" r:id="rId17"/>
    <hyperlink xmlns:r="http://schemas.openxmlformats.org/officeDocument/2006/relationships" ref="Q66" r:id="rId18"/>
    <hyperlink xmlns:r="http://schemas.openxmlformats.org/officeDocument/2006/relationships" ref="Q74" r:id="rId19"/>
    <hyperlink xmlns:r="http://schemas.openxmlformats.org/officeDocument/2006/relationships" ref="R74" r:id="rId20"/>
    <hyperlink xmlns:r="http://schemas.openxmlformats.org/officeDocument/2006/relationships" ref="Q75" r:id="rId21"/>
    <hyperlink xmlns:r="http://schemas.openxmlformats.org/officeDocument/2006/relationships" ref="Q83" r:id="rId22"/>
    <hyperlink xmlns:r="http://schemas.openxmlformats.org/officeDocument/2006/relationships" ref="Q91" r:id="rId23"/>
    <hyperlink xmlns:r="http://schemas.openxmlformats.org/officeDocument/2006/relationships" ref="R91" r:id="rId24"/>
    <hyperlink xmlns:r="http://schemas.openxmlformats.org/officeDocument/2006/relationships" ref="Q99" r:id="rId25"/>
    <hyperlink xmlns:r="http://schemas.openxmlformats.org/officeDocument/2006/relationships" ref="Q100" r:id="rId26"/>
    <hyperlink xmlns:r="http://schemas.openxmlformats.org/officeDocument/2006/relationships" ref="Q101" r:id="rId27"/>
    <hyperlink xmlns:r="http://schemas.openxmlformats.org/officeDocument/2006/relationships" ref="Q102" r:id="rId28"/>
    <hyperlink xmlns:r="http://schemas.openxmlformats.org/officeDocument/2006/relationships" ref="Q110" r:id="rId29"/>
    <hyperlink xmlns:r="http://schemas.openxmlformats.org/officeDocument/2006/relationships" ref="R110" r:id="rId30"/>
    <hyperlink xmlns:r="http://schemas.openxmlformats.org/officeDocument/2006/relationships" ref="Q111" r:id="rId31"/>
    <hyperlink xmlns:r="http://schemas.openxmlformats.org/officeDocument/2006/relationships" ref="Q112" r:id="rId32"/>
    <hyperlink xmlns:r="http://schemas.openxmlformats.org/officeDocument/2006/relationships" ref="Q113" r:id="rId33"/>
    <hyperlink xmlns:r="http://schemas.openxmlformats.org/officeDocument/2006/relationships" ref="R113" r:id="rId34"/>
    <hyperlink xmlns:r="http://schemas.openxmlformats.org/officeDocument/2006/relationships" ref="Q121" r:id="rId35"/>
    <hyperlink xmlns:r="http://schemas.openxmlformats.org/officeDocument/2006/relationships" ref="Q122" r:id="rId36"/>
    <hyperlink xmlns:r="http://schemas.openxmlformats.org/officeDocument/2006/relationships" ref="Q130" r:id="rId37"/>
    <hyperlink xmlns:r="http://schemas.openxmlformats.org/officeDocument/2006/relationships" ref="Q131" r:id="rId38"/>
    <hyperlink xmlns:r="http://schemas.openxmlformats.org/officeDocument/2006/relationships" ref="Q132" r:id="rId39"/>
    <hyperlink xmlns:r="http://schemas.openxmlformats.org/officeDocument/2006/relationships" ref="Q140" r:id="rId40"/>
    <hyperlink xmlns:r="http://schemas.openxmlformats.org/officeDocument/2006/relationships" ref="Q148" r:id="rId41"/>
    <hyperlink xmlns:r="http://schemas.openxmlformats.org/officeDocument/2006/relationships" ref="Q156" r:id="rId42"/>
    <hyperlink xmlns:r="http://schemas.openxmlformats.org/officeDocument/2006/relationships" ref="R156" r:id="rId43"/>
    <hyperlink xmlns:r="http://schemas.openxmlformats.org/officeDocument/2006/relationships" ref="Q164" r:id="rId44"/>
    <hyperlink xmlns:r="http://schemas.openxmlformats.org/officeDocument/2006/relationships" ref="Q172" r:id="rId45"/>
    <hyperlink xmlns:r="http://schemas.openxmlformats.org/officeDocument/2006/relationships" ref="Q180" r:id="rId46"/>
    <hyperlink xmlns:r="http://schemas.openxmlformats.org/officeDocument/2006/relationships" ref="R180" r:id="rId47"/>
    <hyperlink xmlns:r="http://schemas.openxmlformats.org/officeDocument/2006/relationships" ref="Q188" r:id="rId48"/>
    <hyperlink xmlns:r="http://schemas.openxmlformats.org/officeDocument/2006/relationships" ref="Q196" r:id="rId49"/>
    <hyperlink xmlns:r="http://schemas.openxmlformats.org/officeDocument/2006/relationships" ref="Q197" r:id="rId50"/>
    <hyperlink xmlns:r="http://schemas.openxmlformats.org/officeDocument/2006/relationships" ref="Q205" r:id="rId51"/>
    <hyperlink xmlns:r="http://schemas.openxmlformats.org/officeDocument/2006/relationships" ref="Q206" r:id="rId52"/>
    <hyperlink xmlns:r="http://schemas.openxmlformats.org/officeDocument/2006/relationships" ref="Q207" r:id="rId53"/>
    <hyperlink xmlns:r="http://schemas.openxmlformats.org/officeDocument/2006/relationships" ref="Q208" r:id="rId54"/>
    <hyperlink xmlns:r="http://schemas.openxmlformats.org/officeDocument/2006/relationships" ref="Q209" r:id="rId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2" customWidth="1" min="4" max="4"/>
    <col width="13" customWidth="1" min="5" max="5"/>
    <col width="18" customWidth="1" min="6" max="6"/>
    <col width="15" customWidth="1" min="7" max="7"/>
  </cols>
  <sheetData>
    <row r="1">
      <c r="A1" s="1" t="inlineStr">
        <is>
          <t>Суб'єкт</t>
        </is>
      </c>
      <c r="B1" s="1" t="inlineStr">
        <is>
          <t>ФО</t>
        </is>
      </c>
      <c r="C1" s="1" t="inlineStr">
        <is>
          <t>Погоджено (K3)</t>
        </is>
      </c>
      <c r="D1" s="1" t="inlineStr">
        <is>
          <t>Межових</t>
        </is>
      </c>
      <c r="E1" s="1" t="inlineStr">
        <is>
          <t>Відкинуто</t>
        </is>
      </c>
      <c r="F1" s="1" t="inlineStr">
        <is>
          <t>Зустрічних знаків</t>
        </is>
      </c>
      <c r="G1" s="1" t="inlineStr">
        <is>
          <t>Усього рядків</t>
        </is>
      </c>
    </row>
    <row r="2">
      <c r="A2" s="10" t="inlineStr">
        <is>
          <t>Республіка Алтай</t>
        </is>
      </c>
      <c r="B2" s="10" t="inlineStr">
        <is>
          <t>СФО</t>
        </is>
      </c>
      <c r="C2" s="12">
        <f>COUNTIFS(Епізоди!$C$2:$C$216,$A2,Епізоди!$N$2:$N$216,"Погоджено")</f>
        <v/>
      </c>
      <c r="D2" s="12">
        <f>COUNTIFS(Епізоди!$C$2:$C$216,$A2,Епізоди!$N$2:$N$216,"Межовий")</f>
        <v/>
      </c>
      <c r="E2" s="12">
        <f>COUNTIFS(Епізоди!$C$2:$C$216,$A2,Епізоди!$N$2:$N$216,"Відкинуто")</f>
        <v/>
      </c>
      <c r="F2" s="12">
        <f>COUNTIFS(Епізоди!$C$2:$C$216,$A2,Епізоди!$N$2:$N$216,"Зустрічний знак")</f>
        <v/>
      </c>
      <c r="G2" s="12">
        <f>SUM(C2:F2)</f>
        <v/>
      </c>
    </row>
    <row r="3">
      <c r="A3" s="10" t="inlineStr">
        <is>
          <t>Алтайський край</t>
        </is>
      </c>
      <c r="B3" s="10" t="inlineStr">
        <is>
          <t>СФО</t>
        </is>
      </c>
      <c r="C3" s="12">
        <f>COUNTIFS(Епізоди!$C$2:$C$216,$A3,Епізоди!$N$2:$N$216,"Погоджено")</f>
        <v/>
      </c>
      <c r="D3" s="12">
        <f>COUNTIFS(Епізоди!$C$2:$C$216,$A3,Епізоди!$N$2:$N$216,"Межовий")</f>
        <v/>
      </c>
      <c r="E3" s="12">
        <f>COUNTIFS(Епізоди!$C$2:$C$216,$A3,Епізоди!$N$2:$N$216,"Відкинуто")</f>
        <v/>
      </c>
      <c r="F3" s="12">
        <f>COUNTIFS(Епізоди!$C$2:$C$216,$A3,Епізоди!$N$2:$N$216,"Зустрічний знак")</f>
        <v/>
      </c>
      <c r="G3" s="12">
        <f>SUM(C3:F3)</f>
        <v/>
      </c>
    </row>
    <row r="4">
      <c r="A4" s="10" t="inlineStr">
        <is>
          <t>Тива</t>
        </is>
      </c>
      <c r="B4" s="10" t="inlineStr">
        <is>
          <t>СФО</t>
        </is>
      </c>
      <c r="C4" s="12">
        <f>COUNTIFS(Епізоди!$C$2:$C$216,$A4,Епізоди!$N$2:$N$216,"Погоджено")</f>
        <v/>
      </c>
      <c r="D4" s="12">
        <f>COUNTIFS(Епізоди!$C$2:$C$216,$A4,Епізоди!$N$2:$N$216,"Межовий")</f>
        <v/>
      </c>
      <c r="E4" s="12">
        <f>COUNTIFS(Епізоди!$C$2:$C$216,$A4,Епізоди!$N$2:$N$216,"Відкинуто")</f>
        <v/>
      </c>
      <c r="F4" s="12">
        <f>COUNTIFS(Епізоди!$C$2:$C$216,$A4,Епізоди!$N$2:$N$216,"Зустрічний знак")</f>
        <v/>
      </c>
      <c r="G4" s="12">
        <f>SUM(C4:F4)</f>
        <v/>
      </c>
    </row>
    <row r="5">
      <c r="A5" s="10" t="inlineStr">
        <is>
          <t>Хакасія</t>
        </is>
      </c>
      <c r="B5" s="10" t="inlineStr">
        <is>
          <t>СФО</t>
        </is>
      </c>
      <c r="C5" s="12">
        <f>COUNTIFS(Епізоди!$C$2:$C$216,$A5,Епізоди!$N$2:$N$216,"Погоджено")</f>
        <v/>
      </c>
      <c r="D5" s="12">
        <f>COUNTIFS(Епізоди!$C$2:$C$216,$A5,Епізоди!$N$2:$N$216,"Межовий")</f>
        <v/>
      </c>
      <c r="E5" s="12">
        <f>COUNTIFS(Епізоди!$C$2:$C$216,$A5,Епізоди!$N$2:$N$216,"Відкинуто")</f>
        <v/>
      </c>
      <c r="F5" s="12">
        <f>COUNTIFS(Епізоди!$C$2:$C$216,$A5,Епізоди!$N$2:$N$216,"Зустрічний знак")</f>
        <v/>
      </c>
      <c r="G5" s="12">
        <f>SUM(C5:F5)</f>
        <v/>
      </c>
    </row>
    <row r="6">
      <c r="A6" s="10" t="inlineStr">
        <is>
          <t>Красноярський край</t>
        </is>
      </c>
      <c r="B6" s="10" t="inlineStr">
        <is>
          <t>СФО</t>
        </is>
      </c>
      <c r="C6" s="12">
        <f>COUNTIFS(Епізоди!$C$2:$C$216,$A6,Епізоди!$N$2:$N$216,"Погоджено")</f>
        <v/>
      </c>
      <c r="D6" s="12">
        <f>COUNTIFS(Епізоди!$C$2:$C$216,$A6,Епізоди!$N$2:$N$216,"Межовий")</f>
        <v/>
      </c>
      <c r="E6" s="12">
        <f>COUNTIFS(Епізоди!$C$2:$C$216,$A6,Епізоди!$N$2:$N$216,"Відкинуто")</f>
        <v/>
      </c>
      <c r="F6" s="12">
        <f>COUNTIFS(Епізоди!$C$2:$C$216,$A6,Епізоди!$N$2:$N$216,"Зустрічний знак")</f>
        <v/>
      </c>
      <c r="G6" s="12">
        <f>SUM(C6:F6)</f>
        <v/>
      </c>
    </row>
    <row r="7">
      <c r="A7" s="10" t="inlineStr">
        <is>
          <t>Іркутська область</t>
        </is>
      </c>
      <c r="B7" s="10" t="inlineStr">
        <is>
          <t>СФО</t>
        </is>
      </c>
      <c r="C7" s="12">
        <f>COUNTIFS(Епізоди!$C$2:$C$216,$A7,Епізоди!$N$2:$N$216,"Погоджено")</f>
        <v/>
      </c>
      <c r="D7" s="12">
        <f>COUNTIFS(Епізоди!$C$2:$C$216,$A7,Епізоди!$N$2:$N$216,"Межовий")</f>
        <v/>
      </c>
      <c r="E7" s="12">
        <f>COUNTIFS(Епізоди!$C$2:$C$216,$A7,Епізоди!$N$2:$N$216,"Відкинуто")</f>
        <v/>
      </c>
      <c r="F7" s="12">
        <f>COUNTIFS(Епізоди!$C$2:$C$216,$A7,Епізоди!$N$2:$N$216,"Зустрічний знак")</f>
        <v/>
      </c>
      <c r="G7" s="12">
        <f>SUM(C7:F7)</f>
        <v/>
      </c>
    </row>
    <row r="8">
      <c r="A8" s="10" t="inlineStr">
        <is>
          <t>Кемеровська область</t>
        </is>
      </c>
      <c r="B8" s="10" t="inlineStr">
        <is>
          <t>СФО</t>
        </is>
      </c>
      <c r="C8" s="12">
        <f>COUNTIFS(Епізоди!$C$2:$C$216,$A8,Епізоди!$N$2:$N$216,"Погоджено")</f>
        <v/>
      </c>
      <c r="D8" s="12">
        <f>COUNTIFS(Епізоди!$C$2:$C$216,$A8,Епізоди!$N$2:$N$216,"Межовий")</f>
        <v/>
      </c>
      <c r="E8" s="12">
        <f>COUNTIFS(Епізоди!$C$2:$C$216,$A8,Епізоди!$N$2:$N$216,"Відкинуто")</f>
        <v/>
      </c>
      <c r="F8" s="12">
        <f>COUNTIFS(Епізоди!$C$2:$C$216,$A8,Епізоди!$N$2:$N$216,"Зустрічний знак")</f>
        <v/>
      </c>
      <c r="G8" s="12">
        <f>SUM(C8:F8)</f>
        <v/>
      </c>
    </row>
    <row r="9">
      <c r="A9" s="10" t="inlineStr">
        <is>
          <t>Новосибірська область</t>
        </is>
      </c>
      <c r="B9" s="10" t="inlineStr">
        <is>
          <t>СФО</t>
        </is>
      </c>
      <c r="C9" s="12">
        <f>COUNTIFS(Епізоди!$C$2:$C$216,$A9,Епізоди!$N$2:$N$216,"Погоджено")</f>
        <v/>
      </c>
      <c r="D9" s="12">
        <f>COUNTIFS(Епізоди!$C$2:$C$216,$A9,Епізоди!$N$2:$N$216,"Межовий")</f>
        <v/>
      </c>
      <c r="E9" s="12">
        <f>COUNTIFS(Епізоди!$C$2:$C$216,$A9,Епізоди!$N$2:$N$216,"Відкинуто")</f>
        <v/>
      </c>
      <c r="F9" s="12">
        <f>COUNTIFS(Епізоди!$C$2:$C$216,$A9,Епізоди!$N$2:$N$216,"Зустрічний знак")</f>
        <v/>
      </c>
      <c r="G9" s="12">
        <f>SUM(C9:F9)</f>
        <v/>
      </c>
    </row>
    <row r="10">
      <c r="A10" s="10" t="inlineStr">
        <is>
          <t>Омська область</t>
        </is>
      </c>
      <c r="B10" s="10" t="inlineStr">
        <is>
          <t>СФО</t>
        </is>
      </c>
      <c r="C10" s="12">
        <f>COUNTIFS(Епізоди!$C$2:$C$216,$A10,Епізоди!$N$2:$N$216,"Погоджено")</f>
        <v/>
      </c>
      <c r="D10" s="12">
        <f>COUNTIFS(Епізоди!$C$2:$C$216,$A10,Епізоди!$N$2:$N$216,"Межовий")</f>
        <v/>
      </c>
      <c r="E10" s="12">
        <f>COUNTIFS(Епізоди!$C$2:$C$216,$A10,Епізоди!$N$2:$N$216,"Відкинуто")</f>
        <v/>
      </c>
      <c r="F10" s="12">
        <f>COUNTIFS(Епізоди!$C$2:$C$216,$A10,Епізоди!$N$2:$N$216,"Зустрічний знак")</f>
        <v/>
      </c>
      <c r="G10" s="12">
        <f>SUM(C10:F10)</f>
        <v/>
      </c>
    </row>
    <row r="11">
      <c r="A11" s="10" t="inlineStr">
        <is>
          <t>Томська область</t>
        </is>
      </c>
      <c r="B11" s="10" t="inlineStr">
        <is>
          <t>СФО</t>
        </is>
      </c>
      <c r="C11" s="12">
        <f>COUNTIFS(Епізоди!$C$2:$C$216,$A11,Епізоди!$N$2:$N$216,"Погоджено")</f>
        <v/>
      </c>
      <c r="D11" s="12">
        <f>COUNTIFS(Епізоди!$C$2:$C$216,$A11,Епізоди!$N$2:$N$216,"Межовий")</f>
        <v/>
      </c>
      <c r="E11" s="12">
        <f>COUNTIFS(Епізоди!$C$2:$C$216,$A11,Епізоди!$N$2:$N$216,"Відкинуто")</f>
        <v/>
      </c>
      <c r="F11" s="12">
        <f>COUNTIFS(Епізоди!$C$2:$C$216,$A11,Епізоди!$N$2:$N$216,"Зустрічний знак")</f>
        <v/>
      </c>
      <c r="G11" s="12">
        <f>SUM(C11:F11)</f>
        <v/>
      </c>
    </row>
    <row r="12">
      <c r="A12" s="10" t="inlineStr">
        <is>
          <t>Бурятія</t>
        </is>
      </c>
      <c r="B12" s="10" t="inlineStr">
        <is>
          <t>ДФО</t>
        </is>
      </c>
      <c r="C12" s="12">
        <f>COUNTIFS(Епізоди!$C$2:$C$216,$A12,Епізоди!$N$2:$N$216,"Погоджено")</f>
        <v/>
      </c>
      <c r="D12" s="12">
        <f>COUNTIFS(Епізоди!$C$2:$C$216,$A12,Епізоди!$N$2:$N$216,"Межовий")</f>
        <v/>
      </c>
      <c r="E12" s="12">
        <f>COUNTIFS(Епізоди!$C$2:$C$216,$A12,Епізоди!$N$2:$N$216,"Відкинуто")</f>
        <v/>
      </c>
      <c r="F12" s="12">
        <f>COUNTIFS(Епізоди!$C$2:$C$216,$A12,Епізоди!$N$2:$N$216,"Зустрічний знак")</f>
        <v/>
      </c>
      <c r="G12" s="12">
        <f>SUM(C12:F12)</f>
        <v/>
      </c>
    </row>
    <row r="13">
      <c r="A13" s="10" t="inlineStr">
        <is>
          <t>Саха (Якутія)</t>
        </is>
      </c>
      <c r="B13" s="10" t="inlineStr">
        <is>
          <t>ДФО</t>
        </is>
      </c>
      <c r="C13" s="12">
        <f>COUNTIFS(Епізоди!$C$2:$C$216,$A13,Епізоди!$N$2:$N$216,"Погоджено")</f>
        <v/>
      </c>
      <c r="D13" s="12">
        <f>COUNTIFS(Епізоди!$C$2:$C$216,$A13,Епізоди!$N$2:$N$216,"Межовий")</f>
        <v/>
      </c>
      <c r="E13" s="12">
        <f>COUNTIFS(Епізоди!$C$2:$C$216,$A13,Епізоди!$N$2:$N$216,"Відкинуто")</f>
        <v/>
      </c>
      <c r="F13" s="12">
        <f>COUNTIFS(Епізоди!$C$2:$C$216,$A13,Епізоди!$N$2:$N$216,"Зустрічний знак")</f>
        <v/>
      </c>
      <c r="G13" s="12">
        <f>SUM(C13:F13)</f>
        <v/>
      </c>
    </row>
    <row r="14">
      <c r="A14" s="10" t="inlineStr">
        <is>
          <t>Забайкальський край</t>
        </is>
      </c>
      <c r="B14" s="10" t="inlineStr">
        <is>
          <t>ДФО</t>
        </is>
      </c>
      <c r="C14" s="12">
        <f>COUNTIFS(Епізоди!$C$2:$C$216,$A14,Епізоди!$N$2:$N$216,"Погоджено")</f>
        <v/>
      </c>
      <c r="D14" s="12">
        <f>COUNTIFS(Епізоди!$C$2:$C$216,$A14,Епізоди!$N$2:$N$216,"Межовий")</f>
        <v/>
      </c>
      <c r="E14" s="12">
        <f>COUNTIFS(Епізоди!$C$2:$C$216,$A14,Епізоди!$N$2:$N$216,"Відкинуто")</f>
        <v/>
      </c>
      <c r="F14" s="12">
        <f>COUNTIFS(Епізоди!$C$2:$C$216,$A14,Епізоди!$N$2:$N$216,"Зустрічний знак")</f>
        <v/>
      </c>
      <c r="G14" s="12">
        <f>SUM(C14:F14)</f>
        <v/>
      </c>
    </row>
    <row r="15">
      <c r="A15" s="10" t="inlineStr">
        <is>
          <t>Камчатський край</t>
        </is>
      </c>
      <c r="B15" s="10" t="inlineStr">
        <is>
          <t>ДФО</t>
        </is>
      </c>
      <c r="C15" s="12">
        <f>COUNTIFS(Епізоди!$C$2:$C$216,$A15,Епізоди!$N$2:$N$216,"Погоджено")</f>
        <v/>
      </c>
      <c r="D15" s="12">
        <f>COUNTIFS(Епізоди!$C$2:$C$216,$A15,Епізоди!$N$2:$N$216,"Межовий")</f>
        <v/>
      </c>
      <c r="E15" s="12">
        <f>COUNTIFS(Епізоди!$C$2:$C$216,$A15,Епізоди!$N$2:$N$216,"Відкинуто")</f>
        <v/>
      </c>
      <c r="F15" s="12">
        <f>COUNTIFS(Епізоди!$C$2:$C$216,$A15,Епізоди!$N$2:$N$216,"Зустрічний знак")</f>
        <v/>
      </c>
      <c r="G15" s="12">
        <f>SUM(C15:F15)</f>
        <v/>
      </c>
    </row>
    <row r="16">
      <c r="A16" s="10" t="inlineStr">
        <is>
          <t>Приморський край</t>
        </is>
      </c>
      <c r="B16" s="10" t="inlineStr">
        <is>
          <t>ДФО</t>
        </is>
      </c>
      <c r="C16" s="12">
        <f>COUNTIFS(Епізоди!$C$2:$C$216,$A16,Епізоди!$N$2:$N$216,"Погоджено")</f>
        <v/>
      </c>
      <c r="D16" s="12">
        <f>COUNTIFS(Епізоди!$C$2:$C$216,$A16,Епізоди!$N$2:$N$216,"Межовий")</f>
        <v/>
      </c>
      <c r="E16" s="12">
        <f>COUNTIFS(Епізоди!$C$2:$C$216,$A16,Епізоди!$N$2:$N$216,"Відкинуто")</f>
        <v/>
      </c>
      <c r="F16" s="12">
        <f>COUNTIFS(Епізоди!$C$2:$C$216,$A16,Епізоди!$N$2:$N$216,"Зустрічний знак")</f>
        <v/>
      </c>
      <c r="G16" s="12">
        <f>SUM(C16:F16)</f>
        <v/>
      </c>
    </row>
    <row r="17">
      <c r="A17" s="10" t="inlineStr">
        <is>
          <t>Хабаровський край</t>
        </is>
      </c>
      <c r="B17" s="10" t="inlineStr">
        <is>
          <t>ДФО</t>
        </is>
      </c>
      <c r="C17" s="12">
        <f>COUNTIFS(Епізоди!$C$2:$C$216,$A17,Епізоди!$N$2:$N$216,"Погоджено")</f>
        <v/>
      </c>
      <c r="D17" s="12">
        <f>COUNTIFS(Епізоди!$C$2:$C$216,$A17,Епізоди!$N$2:$N$216,"Межовий")</f>
        <v/>
      </c>
      <c r="E17" s="12">
        <f>COUNTIFS(Епізоди!$C$2:$C$216,$A17,Епізоди!$N$2:$N$216,"Відкинуто")</f>
        <v/>
      </c>
      <c r="F17" s="12">
        <f>COUNTIFS(Епізоди!$C$2:$C$216,$A17,Епізоди!$N$2:$N$216,"Зустрічний знак")</f>
        <v/>
      </c>
      <c r="G17" s="12">
        <f>SUM(C17:F17)</f>
        <v/>
      </c>
    </row>
    <row r="18">
      <c r="A18" s="10" t="inlineStr">
        <is>
          <t>Амурська область</t>
        </is>
      </c>
      <c r="B18" s="10" t="inlineStr">
        <is>
          <t>ДФО</t>
        </is>
      </c>
      <c r="C18" s="12">
        <f>COUNTIFS(Епізоди!$C$2:$C$216,$A18,Епізоди!$N$2:$N$216,"Погоджено")</f>
        <v/>
      </c>
      <c r="D18" s="12">
        <f>COUNTIFS(Епізоди!$C$2:$C$216,$A18,Епізоди!$N$2:$N$216,"Межовий")</f>
        <v/>
      </c>
      <c r="E18" s="12">
        <f>COUNTIFS(Епізоди!$C$2:$C$216,$A18,Епізоди!$N$2:$N$216,"Відкинуто")</f>
        <v/>
      </c>
      <c r="F18" s="12">
        <f>COUNTIFS(Епізоди!$C$2:$C$216,$A18,Епізоди!$N$2:$N$216,"Зустрічний знак")</f>
        <v/>
      </c>
      <c r="G18" s="12">
        <f>SUM(C18:F18)</f>
        <v/>
      </c>
    </row>
    <row r="19">
      <c r="A19" s="10" t="inlineStr">
        <is>
          <t>Магаданська область</t>
        </is>
      </c>
      <c r="B19" s="10" t="inlineStr">
        <is>
          <t>ДФО</t>
        </is>
      </c>
      <c r="C19" s="12">
        <f>COUNTIFS(Епізоди!$C$2:$C$216,$A19,Епізоди!$N$2:$N$216,"Погоджено")</f>
        <v/>
      </c>
      <c r="D19" s="12">
        <f>COUNTIFS(Епізоди!$C$2:$C$216,$A19,Епізоди!$N$2:$N$216,"Межовий")</f>
        <v/>
      </c>
      <c r="E19" s="12">
        <f>COUNTIFS(Епізоди!$C$2:$C$216,$A19,Епізоди!$N$2:$N$216,"Відкинуто")</f>
        <v/>
      </c>
      <c r="F19" s="12">
        <f>COUNTIFS(Епізоди!$C$2:$C$216,$A19,Епізоди!$N$2:$N$216,"Зустрічний знак")</f>
        <v/>
      </c>
      <c r="G19" s="12">
        <f>SUM(C19:F19)</f>
        <v/>
      </c>
    </row>
    <row r="20">
      <c r="A20" s="10" t="inlineStr">
        <is>
          <t>Сахалінська область</t>
        </is>
      </c>
      <c r="B20" s="10" t="inlineStr">
        <is>
          <t>ДФО</t>
        </is>
      </c>
      <c r="C20" s="12">
        <f>COUNTIFS(Епізоди!$C$2:$C$216,$A20,Епізоди!$N$2:$N$216,"Погоджено")</f>
        <v/>
      </c>
      <c r="D20" s="12">
        <f>COUNTIFS(Епізоди!$C$2:$C$216,$A20,Епізоди!$N$2:$N$216,"Межовий")</f>
        <v/>
      </c>
      <c r="E20" s="12">
        <f>COUNTIFS(Епізоди!$C$2:$C$216,$A20,Епізоди!$N$2:$N$216,"Відкинуто")</f>
        <v/>
      </c>
      <c r="F20" s="12">
        <f>COUNTIFS(Епізоди!$C$2:$C$216,$A20,Епізоди!$N$2:$N$216,"Зустрічний знак")</f>
        <v/>
      </c>
      <c r="G20" s="12">
        <f>SUM(C20:F20)</f>
        <v/>
      </c>
    </row>
    <row r="21">
      <c r="A21" s="10" t="inlineStr">
        <is>
          <t>Єврейська АО</t>
        </is>
      </c>
      <c r="B21" s="10" t="inlineStr">
        <is>
          <t>ДФО</t>
        </is>
      </c>
      <c r="C21" s="12">
        <f>COUNTIFS(Епізоди!$C$2:$C$216,$A21,Епізоди!$N$2:$N$216,"Погоджено")</f>
        <v/>
      </c>
      <c r="D21" s="12">
        <f>COUNTIFS(Епізоди!$C$2:$C$216,$A21,Епізоди!$N$2:$N$216,"Межовий")</f>
        <v/>
      </c>
      <c r="E21" s="12">
        <f>COUNTIFS(Епізоди!$C$2:$C$216,$A21,Епізоди!$N$2:$N$216,"Відкинуто")</f>
        <v/>
      </c>
      <c r="F21" s="12">
        <f>COUNTIFS(Епізоди!$C$2:$C$216,$A21,Епізоди!$N$2:$N$216,"Зустрічний знак")</f>
        <v/>
      </c>
      <c r="G21" s="12">
        <f>SUM(C21:F21)</f>
        <v/>
      </c>
    </row>
    <row r="22">
      <c r="A22" s="10" t="inlineStr">
        <is>
          <t>Чукотський АО</t>
        </is>
      </c>
      <c r="B22" s="10" t="inlineStr">
        <is>
          <t>ДФО</t>
        </is>
      </c>
      <c r="C22" s="12">
        <f>COUNTIFS(Епізоди!$C$2:$C$216,$A22,Епізоди!$N$2:$N$216,"Погоджено")</f>
        <v/>
      </c>
      <c r="D22" s="12">
        <f>COUNTIFS(Епізоди!$C$2:$C$216,$A22,Епізоди!$N$2:$N$216,"Межовий")</f>
        <v/>
      </c>
      <c r="E22" s="12">
        <f>COUNTIFS(Епізоди!$C$2:$C$216,$A22,Епізоди!$N$2:$N$216,"Відкинуто")</f>
        <v/>
      </c>
      <c r="F22" s="12">
        <f>COUNTIFS(Епізоди!$C$2:$C$216,$A22,Епізоди!$N$2:$N$216,"Зустрічний знак")</f>
        <v/>
      </c>
      <c r="G22" s="12">
        <f>SUM(C22:F22)</f>
        <v/>
      </c>
    </row>
    <row r="23">
      <c r="A23" s="10" t="inlineStr">
        <is>
          <t>ХМАО — Югра</t>
        </is>
      </c>
      <c r="B23" s="10" t="inlineStr">
        <is>
          <t>УФО</t>
        </is>
      </c>
      <c r="C23" s="12">
        <f>COUNTIFS(Епізоди!$C$2:$C$216,$A23,Епізоди!$N$2:$N$216,"Погоджено")</f>
        <v/>
      </c>
      <c r="D23" s="12">
        <f>COUNTIFS(Епізоди!$C$2:$C$216,$A23,Епізоди!$N$2:$N$216,"Межовий")</f>
        <v/>
      </c>
      <c r="E23" s="12">
        <f>COUNTIFS(Епізоди!$C$2:$C$216,$A23,Епізоди!$N$2:$N$216,"Відкинуто")</f>
        <v/>
      </c>
      <c r="F23" s="12">
        <f>COUNTIFS(Епізоди!$C$2:$C$216,$A23,Епізоди!$N$2:$N$216,"Зустрічний знак")</f>
        <v/>
      </c>
      <c r="G23" s="12">
        <f>SUM(C23:F23)</f>
        <v/>
      </c>
    </row>
    <row r="24">
      <c r="A24" s="10" t="inlineStr">
        <is>
          <t>ЯНАО</t>
        </is>
      </c>
      <c r="B24" s="10" t="inlineStr">
        <is>
          <t>УФО</t>
        </is>
      </c>
      <c r="C24" s="12">
        <f>COUNTIFS(Епізоди!$C$2:$C$216,$A24,Епізоди!$N$2:$N$216,"Погоджено")</f>
        <v/>
      </c>
      <c r="D24" s="12">
        <f>COUNTIFS(Епізоди!$C$2:$C$216,$A24,Епізоди!$N$2:$N$216,"Межовий")</f>
        <v/>
      </c>
      <c r="E24" s="12">
        <f>COUNTIFS(Епізоди!$C$2:$C$216,$A24,Епізоди!$N$2:$N$216,"Відкинуто")</f>
        <v/>
      </c>
      <c r="F24" s="12">
        <f>COUNTIFS(Епізоди!$C$2:$C$216,$A24,Епізоди!$N$2:$N$216,"Зустрічний знак")</f>
        <v/>
      </c>
      <c r="G24" s="12">
        <f>SUM(C24:F24)</f>
        <v/>
      </c>
    </row>
    <row r="25">
      <c r="A25" s="10" t="inlineStr">
        <is>
          <t>Наскрізні (рівень РФ)</t>
        </is>
      </c>
      <c r="B25" s="10" t="inlineStr">
        <is>
          <t>—</t>
        </is>
      </c>
      <c r="C25" s="12">
        <f>COUNTIFS(Епізоди!$C$2:$C$216,$A25,Епізоди!$N$2:$N$216,"Погоджено")</f>
        <v/>
      </c>
      <c r="D25" s="12">
        <f>COUNTIFS(Епізоди!$C$2:$C$216,$A25,Епізоди!$N$2:$N$216,"Межовий")</f>
        <v/>
      </c>
      <c r="E25" s="12">
        <f>COUNTIFS(Епізоди!$C$2:$C$216,$A25,Епізоди!$N$2:$N$216,"Відкинуто")</f>
        <v/>
      </c>
      <c r="F25" s="12">
        <f>COUNTIFS(Епізоди!$C$2:$C$216,$A25,Епізоди!$N$2:$N$216,"Зустрічний знак")</f>
        <v/>
      </c>
      <c r="G25" s="12">
        <f>SUM(C25:F25)</f>
        <v/>
      </c>
    </row>
    <row r="26">
      <c r="A26" s="7" t="inlineStr">
        <is>
          <t>РАЗОМ</t>
        </is>
      </c>
      <c r="B26" s="8" t="n"/>
      <c r="C26" s="13">
        <f>SUM(C2:C25)</f>
        <v/>
      </c>
      <c r="D26" s="13">
        <f>SUM(D2:D25)</f>
        <v/>
      </c>
      <c r="E26" s="13">
        <f>SUM(E2:E25)</f>
        <v/>
      </c>
      <c r="F26" s="13">
        <f>SUM(F2:F25)</f>
        <v/>
      </c>
      <c r="G26" s="13">
        <f>SUM(G2:G25)</f>
        <v/>
      </c>
    </row>
    <row r="28" ht="32" customHeight="1">
      <c r="A28" s="14" t="inlineStr">
        <is>
          <t>• Числа рахуються формулами COUNTIFS по аркушу «Епізоди» — щойно аналітик змінить статус або допише рядок, зведення оновиться саме.</t>
        </is>
      </c>
    </row>
    <row r="29" ht="32" customHeight="1">
      <c r="A29" s="14" t="inlineStr">
        <is>
          <t>• «Зустрічний знак» — четвертий статус, якого немає в таблиці K1. Це факти, що СУПЕРЕЧАТЬ гіпотезі ТЗ про збільшення відтоку (міграційний приріст, скорочення відтоку). Їх не можна відкидати: без них звіт буде однобоким.</t>
        </is>
      </c>
    </row>
    <row r="30" ht="32" customHeight="1">
      <c r="A30" s="14" t="inlineStr">
        <is>
          <t>• Одиниця обліку — епізод, а не людина. Офіційної статистики міграції за 2026 рік не існує: останній бюлетень Росстату — за 2023 рік.</t>
        </is>
      </c>
    </row>
    <row r="31" ht="32" customHeight="1">
      <c r="A31" s="14" t="inlineStr">
        <is>
          <t>• Оприлюднення статистики у 2026 році вважається епізодом 2026 року, навіть якщо самі дані за 2023–2024. Це закладено в промпт K3.</t>
        </is>
      </c>
    </row>
    <row r="32" ht="32" customHeight="1">
      <c r="A32" s="14" t="inlineStr">
        <is>
          <t>• У кожному блоці суб'єкта залишено 4 порожні рядки під нові епізоди — вони вже входять у діапазон підрахунку.</t>
        </is>
      </c>
    </row>
  </sheetData>
  <mergeCells count="5">
    <mergeCell ref="A32:G32"/>
    <mergeCell ref="A31:G31"/>
    <mergeCell ref="A30:G30"/>
    <mergeCell ref="A29:G29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5" t="inlineStr">
        <is>
          <t>Статус</t>
        </is>
      </c>
      <c r="B1" s="15" t="inlineStr">
        <is>
          <t>Механізм</t>
        </is>
      </c>
      <c r="C1" s="15" t="inlineStr">
        <is>
          <t>Тип епізоду</t>
        </is>
      </c>
      <c r="D1" s="15" t="inlineStr">
        <is>
          <t>Напрям відтоку</t>
        </is>
      </c>
      <c r="E1" s="15" t="inlineStr">
        <is>
          <t>Причина за джерелом</t>
        </is>
      </c>
      <c r="F1" s="15" t="inlineStr">
        <is>
          <t>Точність дати</t>
        </is>
      </c>
      <c r="G1" s="15" t="inlineStr">
        <is>
          <t>Тип джерела</t>
        </is>
      </c>
    </row>
    <row r="2">
      <c r="A2" s="16" t="inlineStr">
        <is>
          <t>Погоджено</t>
        </is>
      </c>
      <c r="B2" s="16" t="inlineStr">
        <is>
          <t>Вугільна криза</t>
        </is>
      </c>
      <c r="C2" s="16" t="inlineStr">
        <is>
          <t>Закриття підприємства</t>
        </is>
      </c>
      <c r="D2" s="16" t="inlineStr">
        <is>
          <t>Внутрішній</t>
        </is>
      </c>
      <c r="E2" s="16" t="inlineStr">
        <is>
          <t>Федеральна</t>
        </is>
      </c>
      <c r="F2" s="16" t="inlineStr">
        <is>
          <t>Точна</t>
        </is>
      </c>
      <c r="G2" s="16" t="inlineStr">
        <is>
          <t>Незалежне медіа</t>
        </is>
      </c>
    </row>
    <row r="3">
      <c r="A3" s="16" t="inlineStr">
        <is>
          <t>Межовий</t>
        </is>
      </c>
      <c r="B3" s="16" t="inlineStr">
        <is>
          <t>Оптимізація соціалки</t>
        </is>
      </c>
      <c r="C3" s="16" t="inlineStr">
        <is>
          <t>Закриття / злиття школи</t>
        </is>
      </c>
      <c r="D3" s="16" t="inlineStr">
        <is>
          <t>Зовнішній</t>
        </is>
      </c>
      <c r="E3" s="16" t="inlineStr">
        <is>
          <t>Регіональна</t>
        </is>
      </c>
      <c r="F3" s="16" t="inlineStr">
        <is>
          <t>Місяць</t>
        </is>
      </c>
      <c r="G3" s="16" t="inlineStr">
        <is>
          <t>Регіональне медіа</t>
        </is>
      </c>
    </row>
    <row r="4">
      <c r="A4" s="16" t="inlineStr">
        <is>
          <t>Відкинуто</t>
        </is>
      </c>
      <c r="B4" s="16" t="inlineStr">
        <is>
          <t>Бюджетна криза регіонів</t>
        </is>
      </c>
      <c r="C4" s="16" t="inlineStr">
        <is>
          <t>Ліквідація населеного пункту</t>
        </is>
      </c>
      <c r="D4" s="16" t="inlineStr">
        <is>
          <t>Змішаний</t>
        </is>
      </c>
      <c r="E4" s="16" t="inlineStr">
        <is>
          <t>Змішана</t>
        </is>
      </c>
      <c r="F4" s="16" t="inlineStr">
        <is>
          <t>Період</t>
        </is>
      </c>
      <c r="G4" s="16" t="inlineStr">
        <is>
          <t>Партійне / громадське</t>
        </is>
      </c>
    </row>
    <row r="5">
      <c r="A5" s="16" t="inlineStr">
        <is>
          <t>Зустрічний знак</t>
        </is>
      </c>
      <c r="B5" s="16" t="inlineStr">
        <is>
          <t>Заміщувальна міграція</t>
        </is>
      </c>
      <c r="C5" s="16" t="inlineStr">
        <is>
          <t>Визнання посадовця</t>
        </is>
      </c>
      <c r="D5" s="16" t="inlineStr">
        <is>
          <t>Н/д</t>
        </is>
      </c>
      <c r="E5" s="16" t="inlineStr">
        <is>
          <t>Не названа</t>
        </is>
      </c>
      <c r="F5" s="16" t="inlineStr">
        <is>
          <t>Н/д</t>
        </is>
      </c>
      <c r="G5" s="16" t="inlineStr">
        <is>
          <t>Державне</t>
        </is>
      </c>
    </row>
    <row r="6">
      <c r="B6" s="16" t="inlineStr">
        <is>
          <t>Вахтовизація Півночі</t>
        </is>
      </c>
      <c r="C6" s="16" t="inlineStr">
        <is>
          <t>Заява депутата</t>
        </is>
      </c>
      <c r="G6" s="16" t="inlineStr">
        <is>
          <t>Соцмережа / форум</t>
        </is>
      </c>
    </row>
    <row r="7">
      <c r="B7" s="16" t="inlineStr">
        <is>
          <t>Мобілізація і війна</t>
        </is>
      </c>
      <c r="C7" s="16" t="inlineStr">
        <is>
          <t>Експертна оцінка</t>
        </is>
      </c>
      <c r="G7" s="16" t="inlineStr">
        <is>
          <t>Довідкове (вікі)</t>
        </is>
      </c>
    </row>
    <row r="8">
      <c r="B8" s="16" t="inlineStr">
        <is>
          <t>Структурний відтік Півночі</t>
        </is>
      </c>
      <c r="C8" s="16" t="inlineStr">
        <is>
          <t>Статистичні дані</t>
        </is>
      </c>
      <c r="G8" s="16" t="inlineStr">
        <is>
          <t>Наукова публікація</t>
        </is>
      </c>
    </row>
    <row r="9">
      <c r="B9" s="16" t="inlineStr">
        <is>
          <t>Відтік молоді</t>
        </is>
      </c>
      <c r="C9" s="16" t="inlineStr">
        <is>
          <t>Від'їзд спеціалістів</t>
        </is>
      </c>
      <c r="G9" s="16" t="inlineStr">
        <is>
          <t>Офіційний документ</t>
        </is>
      </c>
    </row>
    <row r="10">
      <c r="B10" s="16" t="inlineStr">
        <is>
          <t>Інше</t>
        </is>
      </c>
      <c r="C10" s="16" t="inlineStr">
        <is>
          <t>Стратегічний документ</t>
        </is>
      </c>
      <c r="G10" s="16" t="inlineStr">
        <is>
          <t>Джерело відсутнє</t>
        </is>
      </c>
    </row>
    <row r="11">
      <c r="C11" s="16" t="inlineStr">
        <is>
          <t>Репортаж ЗМІ</t>
        </is>
      </c>
    </row>
    <row r="12">
      <c r="C12" s="16" t="inlineStr">
        <is>
          <t>Інше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2026-08-16T08:31:05Z</dcterms:created>
  <dcterms:modified xmlns:dcterms="http://purl.org/dc/terms/" xmlns:xsi="http://www.w3.org/2001/XMLSchema-instance" xsi:type="dcterms:W3CDTF">2026-08-16T08:31:05Z</dcterms:modified>
</cp:coreProperties>
</file>